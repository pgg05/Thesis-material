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pg_corriero_student_maastrichtuniversity_nl/Documents/Blocchi appunti/"/>
    </mc:Choice>
  </mc:AlternateContent>
  <xr:revisionPtr revIDLastSave="136" documentId="8_{73168630-0CCB-7E46-A355-DD83ACA76E94}" xr6:coauthVersionLast="47" xr6:coauthVersionMax="47" xr10:uidLastSave="{AB0F8F8E-8A7D-5B45-8720-BD0E71891ACC}"/>
  <bookViews>
    <workbookView xWindow="1000" yWindow="680" windowWidth="23760" windowHeight="17720" activeTab="2" xr2:uid="{A26C8B8E-722F-4895-AF8B-648B4F7E7003}"/>
  </bookViews>
  <sheets>
    <sheet name="IC_literature_2" sheetId="9" r:id="rId1"/>
    <sheet name="IC_literature" sheetId="1" r:id="rId2"/>
    <sheet name="parameters_literature" sheetId="3" r:id="rId3"/>
    <sheet name="output (2)" sheetId="5" r:id="rId4"/>
    <sheet name="output" sheetId="4" r:id="rId5"/>
    <sheet name="Sheet2" sheetId="2" r:id="rId6"/>
    <sheet name="IC_exp1" sheetId="6" r:id="rId7"/>
    <sheet name="IC_exp2" sheetId="7" r:id="rId8"/>
    <sheet name="IC_exp3" sheetId="8" r:id="rId9"/>
  </sheets>
  <definedNames>
    <definedName name="ExternalData_1" localSheetId="4" hidden="1">output!#REF!</definedName>
    <definedName name="ExternalData_1" localSheetId="3" hidden="1">'output (2)'!$A$1:$B$276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9" l="1"/>
  <c r="B44" i="9"/>
  <c r="B40" i="9"/>
  <c r="B36" i="9"/>
  <c r="B32" i="9"/>
  <c r="B28" i="9"/>
  <c r="B24" i="9"/>
  <c r="B20" i="9"/>
  <c r="B16" i="9"/>
  <c r="D88" i="9"/>
  <c r="D87" i="9"/>
  <c r="D86" i="9"/>
  <c r="B86" i="9"/>
  <c r="D85" i="9"/>
  <c r="D84" i="9"/>
  <c r="B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B53" i="7"/>
  <c r="B49" i="7"/>
  <c r="B45" i="7"/>
  <c r="B41" i="7"/>
  <c r="B37" i="7"/>
  <c r="B33" i="7"/>
  <c r="B29" i="7"/>
  <c r="B25" i="7"/>
  <c r="B21" i="7"/>
  <c r="B53" i="8"/>
  <c r="D6" i="8"/>
  <c r="D5" i="8"/>
  <c r="D4" i="8"/>
  <c r="D3" i="8"/>
  <c r="D2" i="8"/>
  <c r="D6" i="7"/>
  <c r="D5" i="7"/>
  <c r="D4" i="7"/>
  <c r="D3" i="7"/>
  <c r="D2" i="7"/>
  <c r="D3" i="6"/>
  <c r="D4" i="6"/>
  <c r="D5" i="6"/>
  <c r="D6" i="6"/>
  <c r="D2" i="6"/>
  <c r="D7" i="6"/>
  <c r="B49" i="8"/>
  <c r="B45" i="8"/>
  <c r="B41" i="8"/>
  <c r="B37" i="8"/>
  <c r="B33" i="8"/>
  <c r="B29" i="8"/>
  <c r="B25" i="8"/>
  <c r="B21" i="8"/>
  <c r="D93" i="8"/>
  <c r="D92" i="8"/>
  <c r="D91" i="8"/>
  <c r="B91" i="8"/>
  <c r="D90" i="8"/>
  <c r="D89" i="8"/>
  <c r="B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93" i="7"/>
  <c r="D92" i="7"/>
  <c r="D91" i="7"/>
  <c r="B91" i="7"/>
  <c r="D90" i="7"/>
  <c r="D89" i="7"/>
  <c r="B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93" i="6"/>
  <c r="D92" i="6"/>
  <c r="D91" i="6"/>
  <c r="B91" i="6"/>
  <c r="D90" i="6"/>
  <c r="D89" i="6"/>
  <c r="B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B53" i="6"/>
  <c r="D52" i="6"/>
  <c r="D51" i="6"/>
  <c r="D50" i="6"/>
  <c r="D49" i="6"/>
  <c r="B49" i="6"/>
  <c r="D48" i="6"/>
  <c r="D47" i="6"/>
  <c r="D46" i="6"/>
  <c r="D45" i="6"/>
  <c r="B45" i="6"/>
  <c r="D44" i="6"/>
  <c r="D43" i="6"/>
  <c r="D42" i="6"/>
  <c r="D41" i="6"/>
  <c r="B41" i="6"/>
  <c r="D40" i="6"/>
  <c r="D39" i="6"/>
  <c r="D38" i="6"/>
  <c r="D37" i="6"/>
  <c r="B37" i="6"/>
  <c r="D36" i="6"/>
  <c r="D35" i="6"/>
  <c r="D34" i="6"/>
  <c r="D33" i="6"/>
  <c r="B33" i="6"/>
  <c r="D32" i="6"/>
  <c r="D31" i="6"/>
  <c r="D30" i="6"/>
  <c r="D29" i="6"/>
  <c r="B29" i="6"/>
  <c r="D28" i="6"/>
  <c r="D27" i="6"/>
  <c r="D26" i="6"/>
  <c r="D25" i="6"/>
  <c r="B25" i="6"/>
  <c r="D24" i="6"/>
  <c r="D23" i="6"/>
  <c r="D22" i="6"/>
  <c r="D21" i="6"/>
  <c r="B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B84" i="1"/>
  <c r="B86" i="1"/>
  <c r="B350" i="3"/>
  <c r="B349" i="3"/>
  <c r="B348" i="3"/>
  <c r="B270" i="5"/>
  <c r="B269" i="5"/>
  <c r="B268" i="5"/>
  <c r="B48" i="1"/>
  <c r="B44" i="1"/>
  <c r="B40" i="1"/>
  <c r="B36" i="1"/>
  <c r="B32" i="1"/>
  <c r="B28" i="1"/>
  <c r="B24" i="1"/>
  <c r="B20" i="1"/>
  <c r="B1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B4C6B1-9A6F-4D41-B251-3856AD625386}" keepAlive="1" name="Query - output" description="Connection to the 'output' query in the workbook." type="5" refreshedVersion="0" background="1">
    <dbPr connection="Provider=Microsoft.Mashup.OleDb.1;Data Source=$Workbook$;Location=output;Extended Properties=&quot;&quot;" command="SELECT * FROM [output]"/>
  </connection>
  <connection id="2" xr16:uid="{07B99484-86F7-4ACE-A350-BAD7DD919B06}" keepAlive="1" name="Query - output (2)" description="Connection to the 'output (2)' query in the workbook." type="5" refreshedVersion="7" background="1" saveData="1">
    <dbPr connection="Provider=Microsoft.Mashup.OleDb.1;Data Source=$Workbook$;Location=&quot;output (2)&quot;;Extended Properties=&quot;&quot;" command="SELECT * FROM [output (2)]"/>
  </connection>
</connections>
</file>

<file path=xl/sharedStrings.xml><?xml version="1.0" encoding="utf-8"?>
<sst xmlns="http://schemas.openxmlformats.org/spreadsheetml/2006/main" count="1696" uniqueCount="529">
  <si>
    <t>index</t>
  </si>
  <si>
    <t>value</t>
  </si>
  <si>
    <t>name</t>
  </si>
  <si>
    <t>cAMP</t>
  </si>
  <si>
    <t>C1</t>
  </si>
  <si>
    <t>PDE4D7_PKA</t>
  </si>
  <si>
    <t>PDE4D3</t>
  </si>
  <si>
    <t>PDE4D8_PKA</t>
  </si>
  <si>
    <t>PDE4D2_ERK</t>
  </si>
  <si>
    <t>PDE4D6_PKA</t>
  </si>
  <si>
    <t>PDE4D7_PKA_rolipram</t>
  </si>
  <si>
    <t>PDE4D4_PKA_rolipram</t>
  </si>
  <si>
    <t>PDE4D5_PKA_rolipram</t>
  </si>
  <si>
    <t>PDE4D3_PKA_rolipram</t>
  </si>
  <si>
    <t>PDE4D8_PKA_rolipram</t>
  </si>
  <si>
    <t>PDE4D9_PKA_rolipram</t>
  </si>
  <si>
    <t>PDE4D2_rolipram</t>
  </si>
  <si>
    <t>CREB</t>
  </si>
  <si>
    <t>Epac</t>
  </si>
  <si>
    <t>AMP</t>
  </si>
  <si>
    <t>Epac_ON</t>
  </si>
  <si>
    <t>RAP1_GDP</t>
  </si>
  <si>
    <t>RAP1_GTP</t>
  </si>
  <si>
    <t>ERK</t>
  </si>
  <si>
    <t>pERK</t>
  </si>
  <si>
    <t>ERK_dimer</t>
  </si>
  <si>
    <t>PKA_tet</t>
  </si>
  <si>
    <t>PKA_reg</t>
  </si>
  <si>
    <t>PKA_cat</t>
  </si>
  <si>
    <t>PKA_cat1</t>
  </si>
  <si>
    <t>PDE4D7</t>
  </si>
  <si>
    <t>PDE4D7_ERK</t>
  </si>
  <si>
    <t>PDE4D7_DP</t>
  </si>
  <si>
    <t>PDE4D4</t>
  </si>
  <si>
    <t>PDE4D4_ERK</t>
  </si>
  <si>
    <t>PDE4D4_PKA</t>
  </si>
  <si>
    <t>PDE4D4_DP</t>
  </si>
  <si>
    <t>PDE4D5</t>
  </si>
  <si>
    <t>PDE4D5_ERK</t>
  </si>
  <si>
    <t>PDE4D5_PKA</t>
  </si>
  <si>
    <t>PDE4D5_DP</t>
  </si>
  <si>
    <t>PDE4D3_ERK</t>
  </si>
  <si>
    <t>PDE4D3_PKA</t>
  </si>
  <si>
    <t>PDE4D3_DP</t>
  </si>
  <si>
    <t>PDE4D8</t>
  </si>
  <si>
    <t>PDE4D8_ERK</t>
  </si>
  <si>
    <t>PDE4D8_DP</t>
  </si>
  <si>
    <t>PDE4D9</t>
  </si>
  <si>
    <t>PDE4D9_ERK</t>
  </si>
  <si>
    <t>PDE4D9_PKA</t>
  </si>
  <si>
    <t>PDE4D9_DP</t>
  </si>
  <si>
    <t>PDE4D1</t>
  </si>
  <si>
    <t>PDE4D1_ERK</t>
  </si>
  <si>
    <t>PDE4D1_PKA</t>
  </si>
  <si>
    <t>PDE4D1_DP</t>
  </si>
  <si>
    <t>PDE4D2</t>
  </si>
  <si>
    <t>PDE4D2_PKA</t>
  </si>
  <si>
    <t>PDE4D2_DP</t>
  </si>
  <si>
    <t>PDE4D6</t>
  </si>
  <si>
    <t>PDE4D6_ERK</t>
  </si>
  <si>
    <t>PDE4D6_DP</t>
  </si>
  <si>
    <t>PDE4D7_rolipram</t>
  </si>
  <si>
    <t>PDE4D7_ERK_rolipram</t>
  </si>
  <si>
    <t>PDE4D7_DP_rolipram</t>
  </si>
  <si>
    <t>PDE4D4_rolipram</t>
  </si>
  <si>
    <t>PDE4D4_ERK_rolipram</t>
  </si>
  <si>
    <t>PDE4D4_DP_rolipram</t>
  </si>
  <si>
    <t>PDE4D5_rolipram</t>
  </si>
  <si>
    <t>PDE4D5_ERK_rolipram</t>
  </si>
  <si>
    <t>PDE4D5_DP_rolipram</t>
  </si>
  <si>
    <t>PDE4D3_rolipram</t>
  </si>
  <si>
    <t>PDE4D3_ERK_rolipram</t>
  </si>
  <si>
    <t>PDE4D3_DP_rolipram</t>
  </si>
  <si>
    <t>PDE4D8_rolipram</t>
  </si>
  <si>
    <t>PDE4D8_ERK_rolipram</t>
  </si>
  <si>
    <t>PDE4D8_DP_rolipram</t>
  </si>
  <si>
    <t>PDE4D9_rolipram</t>
  </si>
  <si>
    <t>PDE4D9_ERK_rolipram</t>
  </si>
  <si>
    <t>PDE4D9_DP_rolipram</t>
  </si>
  <si>
    <t>PDE4D1_rolipram</t>
  </si>
  <si>
    <t>PDE4D1_ERK_rolipram</t>
  </si>
  <si>
    <t>PDE4D2_ERK_rolipram</t>
  </si>
  <si>
    <t>PDE4D6_rolipram</t>
  </si>
  <si>
    <t>PDE4D6_ERK_rolipram</t>
  </si>
  <si>
    <t>pCREB</t>
  </si>
  <si>
    <t>PDE4A</t>
  </si>
  <si>
    <t>PDE4A_rolipram</t>
  </si>
  <si>
    <t>PDE4B</t>
  </si>
  <si>
    <t>PDE4B_rolipram</t>
  </si>
  <si>
    <t>rolipram</t>
  </si>
  <si>
    <t>name_ODE</t>
  </si>
  <si>
    <t>hippocampus: pde4a - 47 nTPM, pde4b - 115.2 nTPM, pde4d - 53 nTPM, pde4c - 5.3 nTPM (ignored)</t>
  </si>
  <si>
    <t>comments</t>
  </si>
  <si>
    <t>kcat_D7</t>
  </si>
  <si>
    <t>Km_D7</t>
  </si>
  <si>
    <t>kcat_D7_ERK</t>
  </si>
  <si>
    <t>kcat_D7_PKA</t>
  </si>
  <si>
    <t>Km_D7_PKA</t>
  </si>
  <si>
    <t>Km_D7_ERK</t>
  </si>
  <si>
    <t>kcat_D7_DP</t>
  </si>
  <si>
    <t>Km_D7_DP</t>
  </si>
  <si>
    <t>Km_D4</t>
  </si>
  <si>
    <t>kcat_D4_ERK</t>
  </si>
  <si>
    <t>Km_D4_ERK</t>
  </si>
  <si>
    <t>kcat_D4_PKA</t>
  </si>
  <si>
    <t>Km_D4_PKA</t>
  </si>
  <si>
    <t>kcat_D4_DP</t>
  </si>
  <si>
    <t>Km_D4_DP</t>
  </si>
  <si>
    <t>kcat_D4</t>
  </si>
  <si>
    <t>kcat_D5_ERK</t>
  </si>
  <si>
    <t>Km_D5_ERK</t>
  </si>
  <si>
    <t>kcat_D5_PKA</t>
  </si>
  <si>
    <t>Km_D5_PKA</t>
  </si>
  <si>
    <t>kcat_D5_DP</t>
  </si>
  <si>
    <t>Km_D5_DP</t>
  </si>
  <si>
    <t>kcat_D5</t>
  </si>
  <si>
    <t>Km_D5</t>
  </si>
  <si>
    <t>kcat_D3</t>
  </si>
  <si>
    <t>Km_D3</t>
  </si>
  <si>
    <t>kcat_D3_ERK</t>
  </si>
  <si>
    <t>Km_D3_ERK</t>
  </si>
  <si>
    <t>kcat_D3_PKA</t>
  </si>
  <si>
    <t>Km_D3_PKA</t>
  </si>
  <si>
    <t>kcat_D3_DP</t>
  </si>
  <si>
    <t>Km_D3_DP</t>
  </si>
  <si>
    <t>kcat_D8</t>
  </si>
  <si>
    <t>Km_D8</t>
  </si>
  <si>
    <t>kcat_D8_ERK</t>
  </si>
  <si>
    <t>Km_D8_ERK</t>
  </si>
  <si>
    <t>kcat_D8_PKA</t>
  </si>
  <si>
    <t>Km_D8_PKA</t>
  </si>
  <si>
    <t>kcat_D8_DP</t>
  </si>
  <si>
    <t>Km_D8_DP</t>
  </si>
  <si>
    <t>kcat_D9</t>
  </si>
  <si>
    <t>Km_D9</t>
  </si>
  <si>
    <t>kcat_D9_ERK</t>
  </si>
  <si>
    <t>Km_D9_ERK</t>
  </si>
  <si>
    <t>kcat_D9_PKA</t>
  </si>
  <si>
    <t>Km_D9_PKA</t>
  </si>
  <si>
    <t>kcat_D9_DP</t>
  </si>
  <si>
    <t>Km_D9_DP</t>
  </si>
  <si>
    <t>kcat_D1</t>
  </si>
  <si>
    <t>Km_D1</t>
  </si>
  <si>
    <t>kcat_D1_ERK</t>
  </si>
  <si>
    <t>Km_D1_ERK</t>
  </si>
  <si>
    <t>kcat_D1_PKA</t>
  </si>
  <si>
    <t>Km_D1_PKA</t>
  </si>
  <si>
    <t>kcat_D1_DP</t>
  </si>
  <si>
    <t>Km_D1_DP</t>
  </si>
  <si>
    <t>kcat_D2</t>
  </si>
  <si>
    <t>Km_D2</t>
  </si>
  <si>
    <t>kcat_D2_ERK</t>
  </si>
  <si>
    <t>Km_D2_ERK</t>
  </si>
  <si>
    <t>kcat_D2_PKA</t>
  </si>
  <si>
    <t>Km_D2_PKA</t>
  </si>
  <si>
    <t>kcat_D2_DP</t>
  </si>
  <si>
    <t>Km_D2_DP</t>
  </si>
  <si>
    <t>kcat_D6</t>
  </si>
  <si>
    <t>Km_D6</t>
  </si>
  <si>
    <t>kcat_D6_ERK</t>
  </si>
  <si>
    <t>Km_D6_ERK</t>
  </si>
  <si>
    <t>kcat_D6_PKA</t>
  </si>
  <si>
    <t>Km_D6_PKA</t>
  </si>
  <si>
    <t>kcat_D6_DP</t>
  </si>
  <si>
    <t>Km_D6_DP</t>
  </si>
  <si>
    <t>Column1</t>
  </si>
  <si>
    <t>Column2</t>
  </si>
  <si>
    <t>kcat_A</t>
  </si>
  <si>
    <t>6.7</t>
  </si>
  <si>
    <t>Km_A</t>
  </si>
  <si>
    <t>5.1</t>
  </si>
  <si>
    <t>kcat_B</t>
  </si>
  <si>
    <t>1.56</t>
  </si>
  <si>
    <t>Km_B</t>
  </si>
  <si>
    <t>4.5</t>
  </si>
  <si>
    <t>k_on_EPAC</t>
  </si>
  <si>
    <t>0.031</t>
  </si>
  <si>
    <t>k_deg_C1</t>
  </si>
  <si>
    <t>0.21</t>
  </si>
  <si>
    <t>k_on_C1</t>
  </si>
  <si>
    <t>0.0261</t>
  </si>
  <si>
    <t>k_off_EPAC</t>
  </si>
  <si>
    <t>0.00651</t>
  </si>
  <si>
    <t>k_m_PKA</t>
  </si>
  <si>
    <t>5.2</t>
  </si>
  <si>
    <t>K_m_EPAC</t>
  </si>
  <si>
    <t>30</t>
  </si>
  <si>
    <t>k_on_RAP</t>
  </si>
  <si>
    <t>0.05</t>
  </si>
  <si>
    <t>k_off_RAP</t>
  </si>
  <si>
    <t>1.666e-4</t>
  </si>
  <si>
    <t>k_on_ERK</t>
  </si>
  <si>
    <t>0.88</t>
  </si>
  <si>
    <t>k_off_ERK</t>
  </si>
  <si>
    <t>0.088</t>
  </si>
  <si>
    <t>k_on_dimer</t>
  </si>
  <si>
    <t>0.2</t>
  </si>
  <si>
    <t>k_off_dimer</t>
  </si>
  <si>
    <t>0.0015</t>
  </si>
  <si>
    <t>k_deg_1</t>
  </si>
  <si>
    <t>0.0051</t>
  </si>
  <si>
    <t>k_off_PKA</t>
  </si>
  <si>
    <t>6e-4</t>
  </si>
  <si>
    <t>k_on_PKA</t>
  </si>
  <si>
    <t>10</t>
  </si>
  <si>
    <t>PP1</t>
  </si>
  <si>
    <t>0.1</t>
  </si>
  <si>
    <t>k_c_ERK_D7</t>
  </si>
  <si>
    <t>K_m_ERK_D7</t>
  </si>
  <si>
    <t>0.47</t>
  </si>
  <si>
    <t>k_c_PKA_D7</t>
  </si>
  <si>
    <t>3</t>
  </si>
  <si>
    <t>K_m_PKA_D7</t>
  </si>
  <si>
    <t>7.5</t>
  </si>
  <si>
    <t>k_deg_ERK_D7</t>
  </si>
  <si>
    <t>5</t>
  </si>
  <si>
    <t>K_m_deg_ERK_D7</t>
  </si>
  <si>
    <t>8</t>
  </si>
  <si>
    <t>k_deg_PKA_D7</t>
  </si>
  <si>
    <t>K_m_deg_PKA_D7</t>
  </si>
  <si>
    <t>k_deg_DP_D7</t>
  </si>
  <si>
    <t>1</t>
  </si>
  <si>
    <t>K_m_deg_DP_D7</t>
  </si>
  <si>
    <t>k_c_PKA_ERK_D7</t>
  </si>
  <si>
    <t>K_m_PKA_ERK_D7</t>
  </si>
  <si>
    <t>25.641</t>
  </si>
  <si>
    <t>k_c_ERK_PKA_D7</t>
  </si>
  <si>
    <t>K_m_ERK_PDA_D7</t>
  </si>
  <si>
    <t>k_c_ERK_D4</t>
  </si>
  <si>
    <t>K_m_ERK_D4</t>
  </si>
  <si>
    <t>k_c_PKA_D4</t>
  </si>
  <si>
    <t>K_m_PKA_D4</t>
  </si>
  <si>
    <t>k_deg_ERK_D4</t>
  </si>
  <si>
    <t>K_m_deg_ERK_D4</t>
  </si>
  <si>
    <t>k_deg_PKA_D4</t>
  </si>
  <si>
    <t>K_m_deg_PKA_D4</t>
  </si>
  <si>
    <t>k_deg_DP_D4</t>
  </si>
  <si>
    <t>K_m_deg_DP_D4</t>
  </si>
  <si>
    <t>k_c_PKA_ERK_D4</t>
  </si>
  <si>
    <t>K_m_PKA_ERK_D4</t>
  </si>
  <si>
    <t>k_c_ERK_PKA_D4</t>
  </si>
  <si>
    <t>K_m_ERK_PDA_D4</t>
  </si>
  <si>
    <t>k_c_ERK_D5</t>
  </si>
  <si>
    <t>K_m_ERK_D5</t>
  </si>
  <si>
    <t>k_c_PKA_D5</t>
  </si>
  <si>
    <t>K_m_PKA_D5</t>
  </si>
  <si>
    <t>k_deg_ERK_D5</t>
  </si>
  <si>
    <t>K_m_deg_ERK_D5</t>
  </si>
  <si>
    <t>k_deg_PKA_D5</t>
  </si>
  <si>
    <t>K_m_deg_PKA_D5</t>
  </si>
  <si>
    <t>k_deg_DP_D5</t>
  </si>
  <si>
    <t>K_m_deg_DP_D5</t>
  </si>
  <si>
    <t>k_c_PKA_ERK_D5</t>
  </si>
  <si>
    <t>K_m_PKA_ERK_D5</t>
  </si>
  <si>
    <t>k_c_ERK_PKA_D5</t>
  </si>
  <si>
    <t>K_m_ERK_PDA_D5</t>
  </si>
  <si>
    <t>k_c_ERK_D3</t>
  </si>
  <si>
    <t>K_m_ERK_D3</t>
  </si>
  <si>
    <t>k_c_PKA_D3</t>
  </si>
  <si>
    <t>K_m_PKA_D3</t>
  </si>
  <si>
    <t>k_deg_ERK_D3</t>
  </si>
  <si>
    <t>K_m_deg_ERK_D3</t>
  </si>
  <si>
    <t>k_deg_PKA_D3</t>
  </si>
  <si>
    <t>K_m_deg_PKA_D3</t>
  </si>
  <si>
    <t>k_deg_DP_D3</t>
  </si>
  <si>
    <t>K_m_deg_DP_D3</t>
  </si>
  <si>
    <t>k_c_PKA_ERK_D3</t>
  </si>
  <si>
    <t>K_m_PKA_ERK_D3</t>
  </si>
  <si>
    <t>k_c_ERK_PKA_D3</t>
  </si>
  <si>
    <t>K_m_ERK_PDA_D3</t>
  </si>
  <si>
    <t>k_c_ERK_D8</t>
  </si>
  <si>
    <t>K_m_ERK_D8</t>
  </si>
  <si>
    <t>k_c_PKA_D8</t>
  </si>
  <si>
    <t>K_m_PKA_D8</t>
  </si>
  <si>
    <t>k_deg_ERK_D8</t>
  </si>
  <si>
    <t>K_m_deg_ERK_D8</t>
  </si>
  <si>
    <t>k_deg_PKA_D8</t>
  </si>
  <si>
    <t>K_m_deg_PKA_D8</t>
  </si>
  <si>
    <t>k_deg_DP_D8</t>
  </si>
  <si>
    <t>K_m_deg_DP_D8</t>
  </si>
  <si>
    <t>k_c_PKA_ERK_D8</t>
  </si>
  <si>
    <t>K_m_PKA_ERK_D8</t>
  </si>
  <si>
    <t>k_c_ERK_PKA_D8</t>
  </si>
  <si>
    <t>K_m_ERK_PDA_D8</t>
  </si>
  <si>
    <t>k_c_ERK_D9</t>
  </si>
  <si>
    <t>K_m_ERK_D9</t>
  </si>
  <si>
    <t>k_c_PKA_D9</t>
  </si>
  <si>
    <t>K_m_PKA_D9</t>
  </si>
  <si>
    <t>k_deg_ERK_D9</t>
  </si>
  <si>
    <t>K_m_deg_ERK_D9</t>
  </si>
  <si>
    <t>k_deg_PKA_D9</t>
  </si>
  <si>
    <t>K_m_deg_PKA_D9</t>
  </si>
  <si>
    <t>k_deg_DP_D9</t>
  </si>
  <si>
    <t>K_m_deg_DP_D9</t>
  </si>
  <si>
    <t>k_c_PKA_ERK_D9</t>
  </si>
  <si>
    <t>K_m_PKA_ERK_D9</t>
  </si>
  <si>
    <t>k_c_ERK_PKA_D9</t>
  </si>
  <si>
    <t>K_m_ERK_PDA_D9</t>
  </si>
  <si>
    <t>k_c_ERK_D1</t>
  </si>
  <si>
    <t>K_m_ERK_D1</t>
  </si>
  <si>
    <t>k_c_PKA_D1</t>
  </si>
  <si>
    <t>0</t>
  </si>
  <si>
    <t>K_m_PKA_D1</t>
  </si>
  <si>
    <t>k_deg_ERK_D1</t>
  </si>
  <si>
    <t>K_m_deg_ERK_D1</t>
  </si>
  <si>
    <t>k_deg_PKA_D1</t>
  </si>
  <si>
    <t>K_m_deg_PKA_D1</t>
  </si>
  <si>
    <t>k_deg_DP_D1</t>
  </si>
  <si>
    <t>K_m_deg_DP_D1</t>
  </si>
  <si>
    <t>k_c_PKA_ERK_D1</t>
  </si>
  <si>
    <t>K_m_PKA_ERK_D1</t>
  </si>
  <si>
    <t>k_c_ERK_PKA_D1</t>
  </si>
  <si>
    <t>K_m_ERK_PDA_D1</t>
  </si>
  <si>
    <t>k_c_ERK_D2</t>
  </si>
  <si>
    <t>K_m_ERK_D2</t>
  </si>
  <si>
    <t>k_c_PKA_D2</t>
  </si>
  <si>
    <t>K_m_PKA_D2</t>
  </si>
  <si>
    <t>k_deg_ERK_D2</t>
  </si>
  <si>
    <t>K_m_deg_ERK_D2</t>
  </si>
  <si>
    <t>k_deg_PKA_D2</t>
  </si>
  <si>
    <t>K_m_deg_PKA_D2</t>
  </si>
  <si>
    <t>k_deg_DP_D2</t>
  </si>
  <si>
    <t>K_m_deg_DP_D2</t>
  </si>
  <si>
    <t>k_c_PKA_ERK_D2</t>
  </si>
  <si>
    <t>K_m_PKA_ERK_D2</t>
  </si>
  <si>
    <t>k_c_ERK_PKA_D2</t>
  </si>
  <si>
    <t>K_m_ERK_PDA_D2</t>
  </si>
  <si>
    <t>k_c_ERK_D6</t>
  </si>
  <si>
    <t>K_m_ERK_D6</t>
  </si>
  <si>
    <t>k_c_PKA_D6</t>
  </si>
  <si>
    <t>K_m_PKA_D6</t>
  </si>
  <si>
    <t>k_deg_ERK_D6</t>
  </si>
  <si>
    <t>K_m_deg_ERK_D6</t>
  </si>
  <si>
    <t>k_deg_PKA_D6</t>
  </si>
  <si>
    <t>K_m_deg_PKA_D6</t>
  </si>
  <si>
    <t>k_deg_DP_D6</t>
  </si>
  <si>
    <t>K_m_deg_DP_D6</t>
  </si>
  <si>
    <t>k_c_PKA_ERK_D6</t>
  </si>
  <si>
    <t>K_m_PKA_ERK_D6</t>
  </si>
  <si>
    <t>k_c_ERK_PKA_D6</t>
  </si>
  <si>
    <t>K_m_ERK_PDA_D6</t>
  </si>
  <si>
    <t>Ki_D7_rolipram</t>
  </si>
  <si>
    <t>Km_D7_rolipram</t>
  </si>
  <si>
    <t>0.001</t>
  </si>
  <si>
    <t>k_D7_deg_rolipram</t>
  </si>
  <si>
    <t>Ki_D7_ERK_rolipram</t>
  </si>
  <si>
    <t>Km_D7_ERK_rolipram</t>
  </si>
  <si>
    <t>k_D7_deg_rolipram_ERK</t>
  </si>
  <si>
    <t>Ki_D7_PKA_rolipram</t>
  </si>
  <si>
    <t>Km_D7_PKA_rolipram</t>
  </si>
  <si>
    <t>k_D7_deg_rolipram_PKA</t>
  </si>
  <si>
    <t>Ki_D7_DP_rolipram</t>
  </si>
  <si>
    <t>Km_D7_DP_rolipram</t>
  </si>
  <si>
    <t>k_D7_deg_rolipram_DP</t>
  </si>
  <si>
    <t>Ki_D4_rolipram</t>
  </si>
  <si>
    <t>Km_D4_rolipram</t>
  </si>
  <si>
    <t>k_D4_deg_rolipram</t>
  </si>
  <si>
    <t>Ki_D4_ERK_rolipram</t>
  </si>
  <si>
    <t>Km_D4_ERK_rolipram</t>
  </si>
  <si>
    <t>k_D4_deg_rolipram_ERK</t>
  </si>
  <si>
    <t>Ki_D4_PKA_rolipram</t>
  </si>
  <si>
    <t>Km_D4_PKA_rolipram</t>
  </si>
  <si>
    <t>k_D4_deg_rolipram_PKA</t>
  </si>
  <si>
    <t>Ki_D4_DP_rolipram</t>
  </si>
  <si>
    <t>Km_D4_DP_rolipram</t>
  </si>
  <si>
    <t>k_D4_deg_rolipram_DP</t>
  </si>
  <si>
    <t>Ki_D5_rolipram</t>
  </si>
  <si>
    <t>Km_D5_rolipram</t>
  </si>
  <si>
    <t>k_D5_deg_rolipram</t>
  </si>
  <si>
    <t>Ki_D5_ERK_rolipram</t>
  </si>
  <si>
    <t>Km_D5_ERK_rolipram</t>
  </si>
  <si>
    <t>k_D5_deg_rolipram_ERK</t>
  </si>
  <si>
    <t>Ki_D5_PKA_rolipram</t>
  </si>
  <si>
    <t>Km_D5_PKA_rolipram</t>
  </si>
  <si>
    <t>k_D5_deg_rolipram_PKA</t>
  </si>
  <si>
    <t>Ki_D5_DP_rolipram</t>
  </si>
  <si>
    <t>Km_D5_DP_rolipram</t>
  </si>
  <si>
    <t>k_D5_deg_rolipram_DP</t>
  </si>
  <si>
    <t>Ki_D3_rolipram</t>
  </si>
  <si>
    <t>Km_D3_rolipram</t>
  </si>
  <si>
    <t>k_D3_deg_rolipram</t>
  </si>
  <si>
    <t>Ki_D3_ERK_rolipram</t>
  </si>
  <si>
    <t>Km_D3_ERK_rolipram</t>
  </si>
  <si>
    <t>k_D3_deg_rolipram_ERK</t>
  </si>
  <si>
    <t>Ki_D3_PKA_rolipram</t>
  </si>
  <si>
    <t>Km_D3_PKA_rolipram</t>
  </si>
  <si>
    <t>k_D3_deg_rolipram_PKA</t>
  </si>
  <si>
    <t>Ki_D3_DP_rolipram</t>
  </si>
  <si>
    <t>Km_D3_DP_rolipram</t>
  </si>
  <si>
    <t>k_D3_deg_rolipram_DP</t>
  </si>
  <si>
    <t>Ki_D8_rolipram</t>
  </si>
  <si>
    <t>Km_D8_rolipram</t>
  </si>
  <si>
    <t>k_D8_deg_rolipram</t>
  </si>
  <si>
    <t>Ki_D8_ERK_rolipram</t>
  </si>
  <si>
    <t>Km_D8_ERK_rolipram</t>
  </si>
  <si>
    <t>k_D8_deg_rolipram_ERK</t>
  </si>
  <si>
    <t>Ki_D8_PKA_rolipram</t>
  </si>
  <si>
    <t>Km_D8_PKA_rolipram</t>
  </si>
  <si>
    <t>k_D8_deg_rolipram_PKA</t>
  </si>
  <si>
    <t>Ki_D8_DP_rolipram</t>
  </si>
  <si>
    <t>Km_D8_DP_rolipram</t>
  </si>
  <si>
    <t>k_D8_deg_rolipram_DP</t>
  </si>
  <si>
    <t>Ki_D9_rolipram</t>
  </si>
  <si>
    <t>Km_D9_rolipram</t>
  </si>
  <si>
    <t>k_D9_deg_rolipram</t>
  </si>
  <si>
    <t>Ki_D9_ERK_rolipram</t>
  </si>
  <si>
    <t>Km_D9_ERK_rolipram</t>
  </si>
  <si>
    <t>k_D9_deg_rolipram_ERK</t>
  </si>
  <si>
    <t>Ki_D9_PKA_rolipram</t>
  </si>
  <si>
    <t>Km_D9_PKA_rolipram</t>
  </si>
  <si>
    <t>k_D9_deg_rolipram_PKA</t>
  </si>
  <si>
    <t>Ki_D9_DP_rolipram</t>
  </si>
  <si>
    <t>Km_D9_DP_rolipram</t>
  </si>
  <si>
    <t>k_D9_deg_rolipram_DP</t>
  </si>
  <si>
    <t>Ki_D1_rolipram</t>
  </si>
  <si>
    <t>Km_D1_rolipram</t>
  </si>
  <si>
    <t>k_D1_deg_rolipram</t>
  </si>
  <si>
    <t>Ki_D1_ERK_rolipram</t>
  </si>
  <si>
    <t>Km_D1_ERK_rolipram</t>
  </si>
  <si>
    <t>k_D1_deg_rolipram_ERK</t>
  </si>
  <si>
    <t>Ki_D1_PKA_rolipram</t>
  </si>
  <si>
    <t>Km_D1_PKA_rolipram</t>
  </si>
  <si>
    <t>k_D1_deg_rolipram_PKA</t>
  </si>
  <si>
    <t>Ki_D1_DP_rolipram</t>
  </si>
  <si>
    <t>Km_D1_DP_rolipram</t>
  </si>
  <si>
    <t>k_D1_deg_rolipram_DP</t>
  </si>
  <si>
    <t>Ki_D2_rolipram</t>
  </si>
  <si>
    <t>Km_D2_rolipram</t>
  </si>
  <si>
    <t>k_D2_deg_rolipram</t>
  </si>
  <si>
    <t>Ki_D2_ERK_rolipram</t>
  </si>
  <si>
    <t>Km_D2_ERK_rolipram</t>
  </si>
  <si>
    <t>k_D2_deg_rolipram_ERK</t>
  </si>
  <si>
    <t>Ki_D2_PKA_rolipram</t>
  </si>
  <si>
    <t>Km_D2_PKA_rolipram</t>
  </si>
  <si>
    <t>k_D2_deg_rolipram_PKA</t>
  </si>
  <si>
    <t>Ki_D2_DP_rolipram</t>
  </si>
  <si>
    <t>Km_D2_DP_rolipram</t>
  </si>
  <si>
    <t>k_D2_deg_rolipram_DP</t>
  </si>
  <si>
    <t>Ki_D6_rolipram</t>
  </si>
  <si>
    <t>Km_D6_rolipram</t>
  </si>
  <si>
    <t>k_D6_deg_rolipram</t>
  </si>
  <si>
    <t>Ki_D6_ERK_rolipram</t>
  </si>
  <si>
    <t>Km_D6_ERK_rolipram</t>
  </si>
  <si>
    <t>k_D6_deg_rolipram_ERK</t>
  </si>
  <si>
    <t>Ki_D6_PKA_rolipram</t>
  </si>
  <si>
    <t>Km_D6_PKA_rolipram</t>
  </si>
  <si>
    <t>k_D6_deg_rolipram_PKA</t>
  </si>
  <si>
    <t>Ki_D6_DP_rolipram</t>
  </si>
  <si>
    <t>Km_D6_DP_rolipram</t>
  </si>
  <si>
    <t>k_D6_deg_rolipram_DP</t>
  </si>
  <si>
    <t>Ki_A_rolipram</t>
  </si>
  <si>
    <t>Km_A_rolipram</t>
  </si>
  <si>
    <t>k_A_deg_rolipram</t>
  </si>
  <si>
    <t>Ki_B_rolipram</t>
  </si>
  <si>
    <t>Km_B_rolipram</t>
  </si>
  <si>
    <t>k_B_deg_rolipram</t>
  </si>
  <si>
    <t>omega</t>
  </si>
  <si>
    <t>omega2</t>
  </si>
  <si>
    <t>A</t>
  </si>
  <si>
    <t>k2</t>
  </si>
  <si>
    <t>0.01</t>
  </si>
  <si>
    <t>sigma</t>
  </si>
  <si>
    <t>225</t>
  </si>
  <si>
    <t>k_creb_PKA</t>
  </si>
  <si>
    <t>k_creb_ERK</t>
  </si>
  <si>
    <t>6.5</t>
  </si>
  <si>
    <t>k_creb_d</t>
  </si>
  <si>
    <t>rolipram_max_peak</t>
  </si>
  <si>
    <t>og 1</t>
  </si>
  <si>
    <t>og 0.47</t>
  </si>
  <si>
    <t>K_m_ERK_PKA_D7</t>
  </si>
  <si>
    <t>K_m_ERK_PKA_D4</t>
  </si>
  <si>
    <t>K_m_ERK_PKA_D5</t>
  </si>
  <si>
    <t>K_m_ERK_PKA_D3</t>
  </si>
  <si>
    <t>K_m_ERK_PKA_D8</t>
  </si>
  <si>
    <t>K_m_ERK_PKA_D9</t>
  </si>
  <si>
    <t>K_m_ERK_PKA_D1</t>
  </si>
  <si>
    <t>K_m_ERK_PKA_D2</t>
  </si>
  <si>
    <t>K_m_ERK_PKA_D6</t>
  </si>
  <si>
    <t>og 10</t>
  </si>
  <si>
    <t>og 5</t>
  </si>
  <si>
    <t>V</t>
  </si>
  <si>
    <t>h</t>
  </si>
  <si>
    <t>s</t>
  </si>
  <si>
    <t>r</t>
  </si>
  <si>
    <t>w</t>
  </si>
  <si>
    <t>CaM</t>
  </si>
  <si>
    <t>Ca2_CaM</t>
  </si>
  <si>
    <t>Ca4_CaM</t>
  </si>
  <si>
    <t>AC1</t>
  </si>
  <si>
    <t>AC1_Ca2_CaM</t>
  </si>
  <si>
    <t>AC1_Ca4_CaM</t>
  </si>
  <si>
    <t>PDE1</t>
  </si>
  <si>
    <t>PDE1_Ca2_CaM</t>
  </si>
  <si>
    <t>PDE1_Ca4_CaM</t>
  </si>
  <si>
    <t>Ca</t>
  </si>
  <si>
    <t xml:space="preserve">dCa </t>
  </si>
  <si>
    <t xml:space="preserve">dCaM </t>
  </si>
  <si>
    <t>dCa2_CaM</t>
  </si>
  <si>
    <t>dCa4_CaM</t>
  </si>
  <si>
    <t>dAC1</t>
  </si>
  <si>
    <t>dAC1_Ca2_CaM</t>
  </si>
  <si>
    <t>dAC1_Ca4_CaM</t>
  </si>
  <si>
    <t>dPDE1</t>
  </si>
  <si>
    <t>dPDE1_Ca2_CaM</t>
  </si>
  <si>
    <t>dPDE1_Ca4_CaM</t>
  </si>
  <si>
    <t>k_Ca2_CaM</t>
  </si>
  <si>
    <t>k_inv_Ca2_CaM</t>
  </si>
  <si>
    <t>k_Ca4_CaM</t>
  </si>
  <si>
    <t>k_inv_Ca4_CaM</t>
  </si>
  <si>
    <t>Km4</t>
  </si>
  <si>
    <t>k_AC1_Ca4_CaM</t>
  </si>
  <si>
    <t>k_PDE1_Ca2_CaM</t>
  </si>
  <si>
    <t>Km6</t>
  </si>
  <si>
    <t>k_inv_PDE1_Ca2_CaM</t>
  </si>
  <si>
    <t>k_inv_AC1_Ca4_CaM</t>
  </si>
  <si>
    <t>kb6</t>
  </si>
  <si>
    <t>K_m_Ca2_to_Ca4_AC1</t>
  </si>
  <si>
    <t>k_deg_Ca4_to_Ca2_AC1</t>
  </si>
  <si>
    <t>K_m_Ca4_to_Ca2_AC1</t>
  </si>
  <si>
    <t>k_c_Ca2_to_Ca4_AC1</t>
  </si>
  <si>
    <t>k_PDE1_Ca2_to_Ca4</t>
  </si>
  <si>
    <t>Km_PDE1_Ca2_to_Ca4</t>
  </si>
  <si>
    <t>k_inv_PDE1_Ca4_to_Ca2</t>
  </si>
  <si>
    <t>Km_PDE1_Ca4_to_Ca2</t>
  </si>
  <si>
    <t>k_PDE1_Ca4_CaM</t>
  </si>
  <si>
    <t>k_AC1_Ca2_CaM</t>
  </si>
  <si>
    <t>k_inv_AC1_Ca2_CaM</t>
  </si>
  <si>
    <t>k_inv_PDE1_Ca4_CaM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</si>
</sst>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2" xfId="0" applyFill="1" applyBorder="1"/>
    <xf numFmtId="0" fontId="0" fillId="0" borderId="0" xfId="0" applyFont="1"/>
  </cellXfs>
  <cellStyles count="1">
    <cellStyle name="Normale" xfId="0" builtinId="0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AE3A8E9-DB7E-4889-BE2C-437BD46EAA1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544560-C03D-4B25-8AAB-A7723999E979}" name="output__2" displayName="output__2" ref="A1:B276" tableType="queryTable" totalsRowShown="0">
  <autoFilter ref="A1:B276" xr:uid="{BE544560-C03D-4B25-8AAB-A7723999E979}"/>
  <tableColumns count="2">
    <tableColumn id="1" xr3:uid="{CAD84BC5-105A-4B00-8834-4088D6DBEA70}" uniqueName="1" name="Column1" queryTableFieldId="1" dataDxfId="1"/>
    <tableColumn id="2" xr3:uid="{7C8684A7-7CF4-4AE1-81E0-90EE8277FCF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4EAB-20A5-2344-86E1-67EC4986483D}">
  <dimension ref="A1:E98"/>
  <sheetViews>
    <sheetView workbookViewId="0">
      <selection activeCell="B2" sqref="B2:C16"/>
    </sheetView>
  </sheetViews>
  <sheetFormatPr baseColWidth="10" defaultColWidth="8.83203125" defaultRowHeight="15" x14ac:dyDescent="0.2"/>
  <cols>
    <col min="3" max="3" width="26.6640625" customWidth="1"/>
    <col min="4" max="4" width="23" customWidth="1"/>
    <col min="5" max="5" width="95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90</v>
      </c>
      <c r="E1" s="1" t="s">
        <v>92</v>
      </c>
    </row>
    <row r="2" spans="1:5" ht="16" x14ac:dyDescent="0.2">
      <c r="A2" s="2">
        <v>0</v>
      </c>
      <c r="B2" s="2">
        <v>1</v>
      </c>
      <c r="C2" s="3" t="s">
        <v>3</v>
      </c>
      <c r="D2" s="2" t="str">
        <f>"d"&amp;C2</f>
        <v>dcAMP</v>
      </c>
      <c r="E2" s="2"/>
    </row>
    <row r="3" spans="1:5" x14ac:dyDescent="0.2">
      <c r="A3" s="2">
        <v>1</v>
      </c>
      <c r="B3" s="2">
        <v>0</v>
      </c>
      <c r="C3" s="2" t="s">
        <v>19</v>
      </c>
      <c r="D3" s="2" t="str">
        <f>"d"&amp;C3</f>
        <v>dAMP</v>
      </c>
      <c r="E3" s="2"/>
    </row>
    <row r="4" spans="1:5" x14ac:dyDescent="0.2">
      <c r="A4" s="2">
        <v>2</v>
      </c>
      <c r="B4" s="2">
        <v>0.48799999999999999</v>
      </c>
      <c r="C4" s="2" t="s">
        <v>18</v>
      </c>
      <c r="D4" s="2" t="str">
        <f t="shared" ref="D4:D67" si="0">"d"&amp;C4</f>
        <v>dEpac</v>
      </c>
      <c r="E4" s="2"/>
    </row>
    <row r="5" spans="1:5" x14ac:dyDescent="0.2">
      <c r="A5" s="2">
        <v>3</v>
      </c>
      <c r="B5" s="2">
        <v>0</v>
      </c>
      <c r="C5" s="2" t="s">
        <v>20</v>
      </c>
      <c r="D5" s="2" t="str">
        <f t="shared" si="0"/>
        <v>dEpac_ON</v>
      </c>
      <c r="E5" s="2"/>
    </row>
    <row r="6" spans="1:5" x14ac:dyDescent="0.2">
      <c r="A6" s="2">
        <v>4</v>
      </c>
      <c r="B6" s="2">
        <v>0.2</v>
      </c>
      <c r="C6" s="2" t="s">
        <v>21</v>
      </c>
      <c r="D6" s="2" t="str">
        <f t="shared" si="0"/>
        <v>dRAP1_GDP</v>
      </c>
      <c r="E6" s="2"/>
    </row>
    <row r="7" spans="1:5" x14ac:dyDescent="0.2">
      <c r="A7" s="2">
        <v>5</v>
      </c>
      <c r="B7" s="2">
        <v>0</v>
      </c>
      <c r="C7" s="2" t="s">
        <v>22</v>
      </c>
      <c r="D7" s="2" t="str">
        <f t="shared" si="0"/>
        <v>dRAP1_GTP</v>
      </c>
      <c r="E7" s="2"/>
    </row>
    <row r="8" spans="1:5" x14ac:dyDescent="0.2">
      <c r="A8" s="2">
        <v>6</v>
      </c>
      <c r="B8" s="2">
        <v>0.8</v>
      </c>
      <c r="C8" s="2" t="s">
        <v>23</v>
      </c>
      <c r="D8" s="2" t="str">
        <f t="shared" si="0"/>
        <v>dERK</v>
      </c>
      <c r="E8" s="2"/>
    </row>
    <row r="9" spans="1:5" x14ac:dyDescent="0.2">
      <c r="A9" s="2">
        <v>7</v>
      </c>
      <c r="B9" s="2">
        <v>0</v>
      </c>
      <c r="C9" s="2" t="s">
        <v>24</v>
      </c>
      <c r="D9" s="2" t="str">
        <f t="shared" si="0"/>
        <v>dpERK</v>
      </c>
      <c r="E9" s="2"/>
    </row>
    <row r="10" spans="1:5" x14ac:dyDescent="0.2">
      <c r="A10" s="2">
        <v>8</v>
      </c>
      <c r="B10" s="2">
        <v>0</v>
      </c>
      <c r="C10" s="2" t="s">
        <v>25</v>
      </c>
      <c r="D10" s="2" t="str">
        <f t="shared" si="0"/>
        <v>dERK_dimer</v>
      </c>
      <c r="E10" s="2"/>
    </row>
    <row r="11" spans="1:5" x14ac:dyDescent="0.2">
      <c r="A11" s="2">
        <v>9</v>
      </c>
      <c r="B11" s="2">
        <v>0</v>
      </c>
      <c r="C11" s="2" t="s">
        <v>4</v>
      </c>
      <c r="D11" s="2" t="str">
        <f t="shared" si="0"/>
        <v>dC1</v>
      </c>
      <c r="E11" s="2"/>
    </row>
    <row r="12" spans="1:5" x14ac:dyDescent="0.2">
      <c r="A12" s="2">
        <v>10</v>
      </c>
      <c r="B12" s="2">
        <v>0.17299999999999999</v>
      </c>
      <c r="C12" s="2" t="s">
        <v>26</v>
      </c>
      <c r="D12" s="2" t="str">
        <f t="shared" si="0"/>
        <v>dPKA_tet</v>
      </c>
      <c r="E12" s="2"/>
    </row>
    <row r="13" spans="1:5" x14ac:dyDescent="0.2">
      <c r="A13" s="2">
        <v>11</v>
      </c>
      <c r="B13" s="2">
        <v>2.3E-2</v>
      </c>
      <c r="C13" s="2" t="s">
        <v>27</v>
      </c>
      <c r="D13" s="2" t="str">
        <f t="shared" si="0"/>
        <v>dPKA_reg</v>
      </c>
      <c r="E13" s="2"/>
    </row>
    <row r="14" spans="1:5" x14ac:dyDescent="0.2">
      <c r="A14" s="2">
        <v>12</v>
      </c>
      <c r="B14" s="2">
        <v>2.3E-2</v>
      </c>
      <c r="C14" s="2" t="s">
        <v>28</v>
      </c>
      <c r="D14" s="2" t="str">
        <f t="shared" si="0"/>
        <v>dPKA_cat</v>
      </c>
      <c r="E14" s="2"/>
    </row>
    <row r="15" spans="1:5" x14ac:dyDescent="0.2">
      <c r="A15" s="2">
        <v>13</v>
      </c>
      <c r="B15" s="2">
        <v>0</v>
      </c>
      <c r="C15" s="2" t="s">
        <v>29</v>
      </c>
      <c r="D15" s="2" t="str">
        <f t="shared" si="0"/>
        <v>dPKA_cat1</v>
      </c>
      <c r="E15" s="2"/>
    </row>
    <row r="16" spans="1:5" ht="16" x14ac:dyDescent="0.2">
      <c r="A16" s="2">
        <v>14</v>
      </c>
      <c r="B16" s="2">
        <f>53/215.2*0.4*0.7/6*0.16</f>
        <v>1.8389095415117722E-3</v>
      </c>
      <c r="C16" s="2" t="s">
        <v>30</v>
      </c>
      <c r="D16" s="2" t="str">
        <f t="shared" si="0"/>
        <v>dPDE4D7</v>
      </c>
      <c r="E16" s="3" t="s">
        <v>91</v>
      </c>
    </row>
    <row r="17" spans="1:5" x14ac:dyDescent="0.2">
      <c r="A17" s="2">
        <v>15</v>
      </c>
      <c r="B17" s="2">
        <v>0</v>
      </c>
      <c r="C17" s="2" t="s">
        <v>31</v>
      </c>
      <c r="D17" s="2" t="str">
        <f t="shared" si="0"/>
        <v>dPDE4D7_ERK</v>
      </c>
      <c r="E17" s="2"/>
    </row>
    <row r="18" spans="1:5" x14ac:dyDescent="0.2">
      <c r="A18" s="2">
        <v>16</v>
      </c>
      <c r="B18" s="2">
        <v>0</v>
      </c>
      <c r="C18" s="2" t="s">
        <v>5</v>
      </c>
      <c r="D18" s="2" t="str">
        <f t="shared" si="0"/>
        <v>dPDE4D7_PKA</v>
      </c>
      <c r="E18" s="2"/>
    </row>
    <row r="19" spans="1:5" x14ac:dyDescent="0.2">
      <c r="A19" s="2">
        <v>17</v>
      </c>
      <c r="B19" s="2">
        <v>0</v>
      </c>
      <c r="C19" s="2" t="s">
        <v>32</v>
      </c>
      <c r="D19" s="2" t="str">
        <f t="shared" si="0"/>
        <v>dPDE4D7_DP</v>
      </c>
      <c r="E19" s="2"/>
    </row>
    <row r="20" spans="1:5" x14ac:dyDescent="0.2">
      <c r="A20" s="2">
        <v>18</v>
      </c>
      <c r="B20" s="2">
        <f>53/215.2*0.4*0.7/6*0.16</f>
        <v>1.8389095415117722E-3</v>
      </c>
      <c r="C20" s="2" t="s">
        <v>33</v>
      </c>
      <c r="D20" s="2" t="str">
        <f t="shared" si="0"/>
        <v>dPDE4D4</v>
      </c>
      <c r="E20" s="2"/>
    </row>
    <row r="21" spans="1:5" x14ac:dyDescent="0.2">
      <c r="A21" s="2">
        <v>19</v>
      </c>
      <c r="B21" s="2">
        <v>0</v>
      </c>
      <c r="C21" s="2" t="s">
        <v>34</v>
      </c>
      <c r="D21" s="2" t="str">
        <f t="shared" si="0"/>
        <v>dPDE4D4_ERK</v>
      </c>
      <c r="E21" s="2"/>
    </row>
    <row r="22" spans="1:5" x14ac:dyDescent="0.2">
      <c r="A22" s="2">
        <v>20</v>
      </c>
      <c r="B22" s="2">
        <v>0</v>
      </c>
      <c r="C22" s="2" t="s">
        <v>35</v>
      </c>
      <c r="D22" s="2" t="str">
        <f t="shared" si="0"/>
        <v>dPDE4D4_PKA</v>
      </c>
      <c r="E22" s="2"/>
    </row>
    <row r="23" spans="1:5" x14ac:dyDescent="0.2">
      <c r="A23" s="2">
        <v>21</v>
      </c>
      <c r="B23" s="2">
        <v>0</v>
      </c>
      <c r="C23" s="2" t="s">
        <v>36</v>
      </c>
      <c r="D23" s="2" t="str">
        <f t="shared" si="0"/>
        <v>dPDE4D4_DP</v>
      </c>
      <c r="E23" s="2"/>
    </row>
    <row r="24" spans="1:5" x14ac:dyDescent="0.2">
      <c r="A24" s="2">
        <v>22</v>
      </c>
      <c r="B24" s="2">
        <f>53/215.2*0.4*0.7/6*0.16</f>
        <v>1.8389095415117722E-3</v>
      </c>
      <c r="C24" s="2" t="s">
        <v>37</v>
      </c>
      <c r="D24" s="2" t="str">
        <f t="shared" si="0"/>
        <v>dPDE4D5</v>
      </c>
      <c r="E24" s="2"/>
    </row>
    <row r="25" spans="1:5" x14ac:dyDescent="0.2">
      <c r="A25" s="2">
        <v>23</v>
      </c>
      <c r="B25" s="2">
        <v>0</v>
      </c>
      <c r="C25" s="2" t="s">
        <v>38</v>
      </c>
      <c r="D25" s="2" t="str">
        <f t="shared" si="0"/>
        <v>dPDE4D5_ERK</v>
      </c>
      <c r="E25" s="2"/>
    </row>
    <row r="26" spans="1:5" x14ac:dyDescent="0.2">
      <c r="A26" s="2">
        <v>24</v>
      </c>
      <c r="B26" s="2">
        <v>0</v>
      </c>
      <c r="C26" s="2" t="s">
        <v>39</v>
      </c>
      <c r="D26" s="2" t="str">
        <f t="shared" si="0"/>
        <v>dPDE4D5_PKA</v>
      </c>
      <c r="E26" s="2"/>
    </row>
    <row r="27" spans="1:5" x14ac:dyDescent="0.2">
      <c r="A27" s="2">
        <v>25</v>
      </c>
      <c r="B27" s="2">
        <v>0</v>
      </c>
      <c r="C27" s="2" t="s">
        <v>40</v>
      </c>
      <c r="D27" s="2" t="str">
        <f t="shared" si="0"/>
        <v>dPDE4D5_DP</v>
      </c>
      <c r="E27" s="2"/>
    </row>
    <row r="28" spans="1:5" x14ac:dyDescent="0.2">
      <c r="A28" s="2">
        <v>26</v>
      </c>
      <c r="B28" s="2">
        <f>53/215.2*0.4*0.7/6*0.33</f>
        <v>3.7927509293680301E-3</v>
      </c>
      <c r="C28" s="2" t="s">
        <v>6</v>
      </c>
      <c r="D28" s="2" t="str">
        <f t="shared" si="0"/>
        <v>dPDE4D3</v>
      </c>
      <c r="E28" s="2"/>
    </row>
    <row r="29" spans="1:5" x14ac:dyDescent="0.2">
      <c r="A29" s="2">
        <v>27</v>
      </c>
      <c r="B29" s="2">
        <v>0</v>
      </c>
      <c r="C29" s="2" t="s">
        <v>41</v>
      </c>
      <c r="D29" s="2" t="str">
        <f t="shared" si="0"/>
        <v>dPDE4D3_ERK</v>
      </c>
      <c r="E29" s="2"/>
    </row>
    <row r="30" spans="1:5" x14ac:dyDescent="0.2">
      <c r="A30" s="2">
        <v>28</v>
      </c>
      <c r="B30" s="2">
        <v>0</v>
      </c>
      <c r="C30" s="2" t="s">
        <v>42</v>
      </c>
      <c r="D30" s="2" t="str">
        <f t="shared" si="0"/>
        <v>dPDE4D3_PKA</v>
      </c>
      <c r="E30" s="2"/>
    </row>
    <row r="31" spans="1:5" x14ac:dyDescent="0.2">
      <c r="A31" s="2">
        <v>29</v>
      </c>
      <c r="B31" s="2">
        <v>0</v>
      </c>
      <c r="C31" s="2" t="s">
        <v>43</v>
      </c>
      <c r="D31" s="2" t="str">
        <f t="shared" si="0"/>
        <v>dPDE4D3_DP</v>
      </c>
      <c r="E31" s="2"/>
    </row>
    <row r="32" spans="1:5" x14ac:dyDescent="0.2">
      <c r="A32" s="2">
        <v>30</v>
      </c>
      <c r="B32" s="2">
        <f>53/215.2*0.4*0.7/6*0.16</f>
        <v>1.8389095415117722E-3</v>
      </c>
      <c r="C32" s="2" t="s">
        <v>44</v>
      </c>
      <c r="D32" s="2" t="str">
        <f t="shared" si="0"/>
        <v>dPDE4D8</v>
      </c>
      <c r="E32" s="2"/>
    </row>
    <row r="33" spans="1:5" x14ac:dyDescent="0.2">
      <c r="A33" s="2">
        <v>31</v>
      </c>
      <c r="B33" s="2">
        <v>0</v>
      </c>
      <c r="C33" s="2" t="s">
        <v>45</v>
      </c>
      <c r="D33" s="2" t="str">
        <f t="shared" si="0"/>
        <v>dPDE4D8_ERK</v>
      </c>
      <c r="E33" s="2"/>
    </row>
    <row r="34" spans="1:5" x14ac:dyDescent="0.2">
      <c r="A34" s="2">
        <v>32</v>
      </c>
      <c r="B34" s="2">
        <v>0</v>
      </c>
      <c r="C34" s="2" t="s">
        <v>7</v>
      </c>
      <c r="D34" s="2" t="str">
        <f t="shared" si="0"/>
        <v>dPDE4D8_PKA</v>
      </c>
      <c r="E34" s="2"/>
    </row>
    <row r="35" spans="1:5" x14ac:dyDescent="0.2">
      <c r="A35" s="2">
        <v>33</v>
      </c>
      <c r="B35" s="2">
        <v>0</v>
      </c>
      <c r="C35" s="2" t="s">
        <v>46</v>
      </c>
      <c r="D35" s="2" t="str">
        <f t="shared" si="0"/>
        <v>dPDE4D8_DP</v>
      </c>
      <c r="E35" s="2"/>
    </row>
    <row r="36" spans="1:5" x14ac:dyDescent="0.2">
      <c r="A36" s="2">
        <v>34</v>
      </c>
      <c r="B36" s="2">
        <f>53/215.2*0.4*0.7/6*0.16</f>
        <v>1.8389095415117722E-3</v>
      </c>
      <c r="C36" s="2" t="s">
        <v>47</v>
      </c>
      <c r="D36" s="2" t="str">
        <f t="shared" si="0"/>
        <v>dPDE4D9</v>
      </c>
      <c r="E36" s="2"/>
    </row>
    <row r="37" spans="1:5" x14ac:dyDescent="0.2">
      <c r="A37" s="2">
        <v>35</v>
      </c>
      <c r="B37" s="2">
        <v>0</v>
      </c>
      <c r="C37" s="2" t="s">
        <v>48</v>
      </c>
      <c r="D37" s="2" t="str">
        <f t="shared" si="0"/>
        <v>dPDE4D9_ERK</v>
      </c>
      <c r="E37" s="2"/>
    </row>
    <row r="38" spans="1:5" x14ac:dyDescent="0.2">
      <c r="A38" s="2">
        <v>36</v>
      </c>
      <c r="B38" s="2">
        <v>0</v>
      </c>
      <c r="C38" s="2" t="s">
        <v>49</v>
      </c>
      <c r="D38" s="2" t="str">
        <f t="shared" si="0"/>
        <v>dPDE4D9_PKA</v>
      </c>
      <c r="E38" s="2"/>
    </row>
    <row r="39" spans="1:5" x14ac:dyDescent="0.2">
      <c r="A39" s="2">
        <v>37</v>
      </c>
      <c r="B39" s="2">
        <v>0</v>
      </c>
      <c r="C39" s="2" t="s">
        <v>50</v>
      </c>
      <c r="D39" s="2" t="str">
        <f t="shared" si="0"/>
        <v>dPDE4D9_DP</v>
      </c>
      <c r="E39" s="2"/>
    </row>
    <row r="40" spans="1:5" x14ac:dyDescent="0.2">
      <c r="A40" s="2">
        <v>38</v>
      </c>
      <c r="B40" s="2">
        <f>53/215.2*0.4*0.11*0.43</f>
        <v>4.6596654275092948E-3</v>
      </c>
      <c r="C40" s="2" t="s">
        <v>51</v>
      </c>
      <c r="D40" s="2" t="str">
        <f t="shared" si="0"/>
        <v>dPDE4D1</v>
      </c>
      <c r="E40" s="2"/>
    </row>
    <row r="41" spans="1:5" x14ac:dyDescent="0.2">
      <c r="A41" s="2">
        <v>39</v>
      </c>
      <c r="B41" s="2">
        <v>0</v>
      </c>
      <c r="C41" s="2" t="s">
        <v>52</v>
      </c>
      <c r="D41" s="2" t="str">
        <f t="shared" si="0"/>
        <v>dPDE4D1_ERK</v>
      </c>
      <c r="E41" s="2"/>
    </row>
    <row r="42" spans="1:5" x14ac:dyDescent="0.2">
      <c r="A42" s="2">
        <v>40</v>
      </c>
      <c r="B42" s="2">
        <v>0</v>
      </c>
      <c r="C42" s="2" t="s">
        <v>53</v>
      </c>
      <c r="D42" s="2" t="str">
        <f t="shared" si="0"/>
        <v>dPDE4D1_PKA</v>
      </c>
      <c r="E42" s="2"/>
    </row>
    <row r="43" spans="1:5" x14ac:dyDescent="0.2">
      <c r="A43" s="2">
        <v>41</v>
      </c>
      <c r="B43" s="2">
        <v>0</v>
      </c>
      <c r="C43" s="2" t="s">
        <v>54</v>
      </c>
      <c r="D43" s="2" t="str">
        <f t="shared" si="0"/>
        <v>dPDE4D1_DP</v>
      </c>
      <c r="E43" s="2"/>
    </row>
    <row r="44" spans="1:5" x14ac:dyDescent="0.2">
      <c r="A44" s="2">
        <v>42</v>
      </c>
      <c r="B44" s="2">
        <f>53/215.2*0.4*0.19/2*0.24</f>
        <v>2.2460966542750928E-3</v>
      </c>
      <c r="C44" s="2" t="s">
        <v>55</v>
      </c>
      <c r="D44" s="2" t="str">
        <f t="shared" si="0"/>
        <v>dPDE4D2</v>
      </c>
      <c r="E44" s="2"/>
    </row>
    <row r="45" spans="1:5" x14ac:dyDescent="0.2">
      <c r="A45" s="2">
        <v>43</v>
      </c>
      <c r="B45" s="2">
        <v>0</v>
      </c>
      <c r="C45" s="2" t="s">
        <v>8</v>
      </c>
      <c r="D45" s="2" t="str">
        <f t="shared" si="0"/>
        <v>dPDE4D2_ERK</v>
      </c>
      <c r="E45" s="2"/>
    </row>
    <row r="46" spans="1:5" x14ac:dyDescent="0.2">
      <c r="A46" s="2">
        <v>44</v>
      </c>
      <c r="B46" s="2">
        <v>0</v>
      </c>
      <c r="C46" s="2" t="s">
        <v>56</v>
      </c>
      <c r="D46" s="2" t="str">
        <f t="shared" si="0"/>
        <v>dPDE4D2_PKA</v>
      </c>
      <c r="E46" s="2"/>
    </row>
    <row r="47" spans="1:5" x14ac:dyDescent="0.2">
      <c r="A47" s="2">
        <v>45</v>
      </c>
      <c r="B47" s="2">
        <v>0</v>
      </c>
      <c r="C47" s="2" t="s">
        <v>57</v>
      </c>
      <c r="D47" s="2" t="str">
        <f t="shared" si="0"/>
        <v>dPDE4D2_DP</v>
      </c>
      <c r="E47" s="2"/>
    </row>
    <row r="48" spans="1:5" x14ac:dyDescent="0.2">
      <c r="A48" s="2">
        <v>46</v>
      </c>
      <c r="B48" s="2">
        <f>53/215.2*0.4*0.19/2*0.16</f>
        <v>1.4973977695167287E-3</v>
      </c>
      <c r="C48" s="2" t="s">
        <v>58</v>
      </c>
      <c r="D48" s="2" t="str">
        <f t="shared" si="0"/>
        <v>dPDE4D6</v>
      </c>
      <c r="E48" s="2"/>
    </row>
    <row r="49" spans="1:5" x14ac:dyDescent="0.2">
      <c r="A49" s="2">
        <v>47</v>
      </c>
      <c r="B49" s="2">
        <v>0</v>
      </c>
      <c r="C49" s="2" t="s">
        <v>59</v>
      </c>
      <c r="D49" s="2" t="str">
        <f t="shared" si="0"/>
        <v>dPDE4D6_ERK</v>
      </c>
      <c r="E49" s="2"/>
    </row>
    <row r="50" spans="1:5" x14ac:dyDescent="0.2">
      <c r="A50" s="2">
        <v>48</v>
      </c>
      <c r="B50" s="2">
        <v>0</v>
      </c>
      <c r="C50" s="2" t="s">
        <v>9</v>
      </c>
      <c r="D50" s="2" t="str">
        <f t="shared" si="0"/>
        <v>dPDE4D6_PKA</v>
      </c>
      <c r="E50" s="2"/>
    </row>
    <row r="51" spans="1:5" x14ac:dyDescent="0.2">
      <c r="A51" s="2">
        <v>49</v>
      </c>
      <c r="B51" s="2">
        <v>0</v>
      </c>
      <c r="C51" s="2" t="s">
        <v>60</v>
      </c>
      <c r="D51" s="2" t="str">
        <f t="shared" si="0"/>
        <v>dPDE4D6_DP</v>
      </c>
      <c r="E51" s="2"/>
    </row>
    <row r="52" spans="1:5" x14ac:dyDescent="0.2">
      <c r="A52" s="2">
        <v>50</v>
      </c>
      <c r="B52" s="2">
        <v>0</v>
      </c>
      <c r="C52" s="2" t="s">
        <v>61</v>
      </c>
      <c r="D52" s="2" t="str">
        <f t="shared" si="0"/>
        <v>dPDE4D7_rolipram</v>
      </c>
      <c r="E52" s="2"/>
    </row>
    <row r="53" spans="1:5" x14ac:dyDescent="0.2">
      <c r="A53" s="2">
        <v>51</v>
      </c>
      <c r="B53" s="2">
        <v>0</v>
      </c>
      <c r="C53" s="2" t="s">
        <v>62</v>
      </c>
      <c r="D53" s="2" t="str">
        <f t="shared" si="0"/>
        <v>dPDE4D7_ERK_rolipram</v>
      </c>
      <c r="E53" s="2"/>
    </row>
    <row r="54" spans="1:5" x14ac:dyDescent="0.2">
      <c r="A54" s="2">
        <v>52</v>
      </c>
      <c r="B54" s="2">
        <v>0</v>
      </c>
      <c r="C54" s="2" t="s">
        <v>10</v>
      </c>
      <c r="D54" s="2" t="str">
        <f t="shared" si="0"/>
        <v>dPDE4D7_PKA_rolipram</v>
      </c>
      <c r="E54" s="2"/>
    </row>
    <row r="55" spans="1:5" x14ac:dyDescent="0.2">
      <c r="A55" s="2">
        <v>53</v>
      </c>
      <c r="B55" s="2">
        <v>0</v>
      </c>
      <c r="C55" s="2" t="s">
        <v>63</v>
      </c>
      <c r="D55" s="2" t="str">
        <f t="shared" si="0"/>
        <v>dPDE4D7_DP_rolipram</v>
      </c>
      <c r="E55" s="2"/>
    </row>
    <row r="56" spans="1:5" x14ac:dyDescent="0.2">
      <c r="A56" s="2">
        <v>54</v>
      </c>
      <c r="B56" s="2">
        <v>0</v>
      </c>
      <c r="C56" s="2" t="s">
        <v>64</v>
      </c>
      <c r="D56" s="2" t="str">
        <f t="shared" si="0"/>
        <v>dPDE4D4_rolipram</v>
      </c>
      <c r="E56" s="2"/>
    </row>
    <row r="57" spans="1:5" x14ac:dyDescent="0.2">
      <c r="A57" s="2">
        <v>55</v>
      </c>
      <c r="B57" s="2">
        <v>0</v>
      </c>
      <c r="C57" s="2" t="s">
        <v>65</v>
      </c>
      <c r="D57" s="2" t="str">
        <f t="shared" si="0"/>
        <v>dPDE4D4_ERK_rolipram</v>
      </c>
      <c r="E57" s="2"/>
    </row>
    <row r="58" spans="1:5" x14ac:dyDescent="0.2">
      <c r="A58" s="2">
        <v>56</v>
      </c>
      <c r="B58" s="2">
        <v>0</v>
      </c>
      <c r="C58" s="2" t="s">
        <v>11</v>
      </c>
      <c r="D58" s="2" t="str">
        <f t="shared" si="0"/>
        <v>dPDE4D4_PKA_rolipram</v>
      </c>
      <c r="E58" s="2"/>
    </row>
    <row r="59" spans="1:5" x14ac:dyDescent="0.2">
      <c r="A59" s="2">
        <v>57</v>
      </c>
      <c r="B59" s="2">
        <v>0</v>
      </c>
      <c r="C59" s="2" t="s">
        <v>66</v>
      </c>
      <c r="D59" s="2" t="str">
        <f t="shared" si="0"/>
        <v>dPDE4D4_DP_rolipram</v>
      </c>
      <c r="E59" s="2"/>
    </row>
    <row r="60" spans="1:5" x14ac:dyDescent="0.2">
      <c r="A60" s="2">
        <v>58</v>
      </c>
      <c r="B60" s="2">
        <v>0</v>
      </c>
      <c r="C60" s="2" t="s">
        <v>67</v>
      </c>
      <c r="D60" s="2" t="str">
        <f t="shared" si="0"/>
        <v>dPDE4D5_rolipram</v>
      </c>
      <c r="E60" s="2"/>
    </row>
    <row r="61" spans="1:5" x14ac:dyDescent="0.2">
      <c r="A61" s="2">
        <v>59</v>
      </c>
      <c r="B61" s="2">
        <v>0</v>
      </c>
      <c r="C61" s="2" t="s">
        <v>68</v>
      </c>
      <c r="D61" s="2" t="str">
        <f t="shared" si="0"/>
        <v>dPDE4D5_ERK_rolipram</v>
      </c>
      <c r="E61" s="2"/>
    </row>
    <row r="62" spans="1:5" x14ac:dyDescent="0.2">
      <c r="A62" s="2">
        <v>60</v>
      </c>
      <c r="B62" s="2">
        <v>0</v>
      </c>
      <c r="C62" s="2" t="s">
        <v>12</v>
      </c>
      <c r="D62" s="2" t="str">
        <f t="shared" si="0"/>
        <v>dPDE4D5_PKA_rolipram</v>
      </c>
      <c r="E62" s="2"/>
    </row>
    <row r="63" spans="1:5" x14ac:dyDescent="0.2">
      <c r="A63" s="2">
        <v>61</v>
      </c>
      <c r="B63" s="2">
        <v>0</v>
      </c>
      <c r="C63" s="2" t="s">
        <v>69</v>
      </c>
      <c r="D63" s="2" t="str">
        <f t="shared" si="0"/>
        <v>dPDE4D5_DP_rolipram</v>
      </c>
      <c r="E63" s="2"/>
    </row>
    <row r="64" spans="1:5" x14ac:dyDescent="0.2">
      <c r="A64" s="2">
        <v>62</v>
      </c>
      <c r="B64" s="2">
        <v>0</v>
      </c>
      <c r="C64" s="2" t="s">
        <v>70</v>
      </c>
      <c r="D64" s="2" t="str">
        <f t="shared" si="0"/>
        <v>dPDE4D3_rolipram</v>
      </c>
      <c r="E64" s="2"/>
    </row>
    <row r="65" spans="1:5" x14ac:dyDescent="0.2">
      <c r="A65" s="2">
        <v>63</v>
      </c>
      <c r="B65" s="2">
        <v>0</v>
      </c>
      <c r="C65" s="2" t="s">
        <v>71</v>
      </c>
      <c r="D65" s="2" t="str">
        <f t="shared" si="0"/>
        <v>dPDE4D3_ERK_rolipram</v>
      </c>
      <c r="E65" s="2"/>
    </row>
    <row r="66" spans="1:5" x14ac:dyDescent="0.2">
      <c r="A66" s="2">
        <v>64</v>
      </c>
      <c r="B66" s="2">
        <v>0</v>
      </c>
      <c r="C66" s="2" t="s">
        <v>13</v>
      </c>
      <c r="D66" s="2" t="str">
        <f t="shared" si="0"/>
        <v>dPDE4D3_PKA_rolipram</v>
      </c>
      <c r="E66" s="2"/>
    </row>
    <row r="67" spans="1:5" x14ac:dyDescent="0.2">
      <c r="A67" s="2">
        <v>65</v>
      </c>
      <c r="B67" s="2">
        <v>0</v>
      </c>
      <c r="C67" s="2" t="s">
        <v>72</v>
      </c>
      <c r="D67" s="2" t="str">
        <f t="shared" si="0"/>
        <v>dPDE4D3_DP_rolipram</v>
      </c>
      <c r="E67" s="2"/>
    </row>
    <row r="68" spans="1:5" x14ac:dyDescent="0.2">
      <c r="A68" s="2">
        <v>66</v>
      </c>
      <c r="B68" s="2">
        <v>0</v>
      </c>
      <c r="C68" s="2" t="s">
        <v>73</v>
      </c>
      <c r="D68" s="2" t="str">
        <f t="shared" ref="D68:D88" si="1">"d"&amp;C68</f>
        <v>dPDE4D8_rolipram</v>
      </c>
      <c r="E68" s="2"/>
    </row>
    <row r="69" spans="1:5" x14ac:dyDescent="0.2">
      <c r="A69" s="2">
        <v>67</v>
      </c>
      <c r="B69" s="2">
        <v>0</v>
      </c>
      <c r="C69" s="2" t="s">
        <v>74</v>
      </c>
      <c r="D69" s="2" t="str">
        <f t="shared" si="1"/>
        <v>dPDE4D8_ERK_rolipram</v>
      </c>
      <c r="E69" s="2"/>
    </row>
    <row r="70" spans="1:5" x14ac:dyDescent="0.2">
      <c r="A70" s="2">
        <v>68</v>
      </c>
      <c r="B70" s="2">
        <v>0</v>
      </c>
      <c r="C70" s="2" t="s">
        <v>14</v>
      </c>
      <c r="D70" s="2" t="str">
        <f t="shared" si="1"/>
        <v>dPDE4D8_PKA_rolipram</v>
      </c>
      <c r="E70" s="2"/>
    </row>
    <row r="71" spans="1:5" x14ac:dyDescent="0.2">
      <c r="A71" s="2">
        <v>69</v>
      </c>
      <c r="B71" s="2">
        <v>0</v>
      </c>
      <c r="C71" s="2" t="s">
        <v>75</v>
      </c>
      <c r="D71" s="2" t="str">
        <f t="shared" si="1"/>
        <v>dPDE4D8_DP_rolipram</v>
      </c>
      <c r="E71" s="2"/>
    </row>
    <row r="72" spans="1:5" x14ac:dyDescent="0.2">
      <c r="A72" s="2">
        <v>70</v>
      </c>
      <c r="B72" s="2">
        <v>0</v>
      </c>
      <c r="C72" s="2" t="s">
        <v>76</v>
      </c>
      <c r="D72" s="2" t="str">
        <f t="shared" si="1"/>
        <v>dPDE4D9_rolipram</v>
      </c>
      <c r="E72" s="2"/>
    </row>
    <row r="73" spans="1:5" x14ac:dyDescent="0.2">
      <c r="A73" s="2">
        <v>71</v>
      </c>
      <c r="B73" s="2">
        <v>0</v>
      </c>
      <c r="C73" s="2" t="s">
        <v>77</v>
      </c>
      <c r="D73" s="2" t="str">
        <f t="shared" si="1"/>
        <v>dPDE4D9_ERK_rolipram</v>
      </c>
      <c r="E73" s="2"/>
    </row>
    <row r="74" spans="1:5" x14ac:dyDescent="0.2">
      <c r="A74" s="2">
        <v>72</v>
      </c>
      <c r="B74" s="2">
        <v>0</v>
      </c>
      <c r="C74" s="2" t="s">
        <v>15</v>
      </c>
      <c r="D74" s="2" t="str">
        <f t="shared" si="1"/>
        <v>dPDE4D9_PKA_rolipram</v>
      </c>
      <c r="E74" s="2"/>
    </row>
    <row r="75" spans="1:5" x14ac:dyDescent="0.2">
      <c r="A75" s="2">
        <v>73</v>
      </c>
      <c r="B75" s="2">
        <v>0</v>
      </c>
      <c r="C75" s="2" t="s">
        <v>78</v>
      </c>
      <c r="D75" s="2" t="str">
        <f t="shared" si="1"/>
        <v>dPDE4D9_DP_rolipram</v>
      </c>
      <c r="E75" s="2"/>
    </row>
    <row r="76" spans="1:5" x14ac:dyDescent="0.2">
      <c r="A76" s="2">
        <v>74</v>
      </c>
      <c r="B76" s="2">
        <v>0</v>
      </c>
      <c r="C76" s="2" t="s">
        <v>79</v>
      </c>
      <c r="D76" s="2" t="str">
        <f t="shared" si="1"/>
        <v>dPDE4D1_rolipram</v>
      </c>
      <c r="E76" s="2"/>
    </row>
    <row r="77" spans="1:5" x14ac:dyDescent="0.2">
      <c r="A77" s="2">
        <v>75</v>
      </c>
      <c r="B77" s="2">
        <v>0</v>
      </c>
      <c r="C77" s="2" t="s">
        <v>80</v>
      </c>
      <c r="D77" s="2" t="str">
        <f t="shared" si="1"/>
        <v>dPDE4D1_ERK_rolipram</v>
      </c>
      <c r="E77" s="2"/>
    </row>
    <row r="78" spans="1:5" x14ac:dyDescent="0.2">
      <c r="A78" s="2">
        <v>76</v>
      </c>
      <c r="B78" s="2">
        <v>0</v>
      </c>
      <c r="C78" s="2" t="s">
        <v>16</v>
      </c>
      <c r="D78" s="2" t="str">
        <f t="shared" si="1"/>
        <v>dPDE4D2_rolipram</v>
      </c>
      <c r="E78" s="2"/>
    </row>
    <row r="79" spans="1:5" x14ac:dyDescent="0.2">
      <c r="A79" s="2">
        <v>77</v>
      </c>
      <c r="B79" s="2">
        <v>0</v>
      </c>
      <c r="C79" s="2" t="s">
        <v>81</v>
      </c>
      <c r="D79" s="2" t="str">
        <f t="shared" si="1"/>
        <v>dPDE4D2_ERK_rolipram</v>
      </c>
      <c r="E79" s="2"/>
    </row>
    <row r="80" spans="1:5" x14ac:dyDescent="0.2">
      <c r="A80" s="2">
        <v>78</v>
      </c>
      <c r="B80" s="2">
        <v>0</v>
      </c>
      <c r="C80" s="2" t="s">
        <v>82</v>
      </c>
      <c r="D80" s="2" t="str">
        <f t="shared" si="1"/>
        <v>dPDE4D6_rolipram</v>
      </c>
      <c r="E80" s="2"/>
    </row>
    <row r="81" spans="1:5" x14ac:dyDescent="0.2">
      <c r="A81" s="2">
        <v>79</v>
      </c>
      <c r="B81" s="2">
        <v>0</v>
      </c>
      <c r="C81" s="2" t="s">
        <v>83</v>
      </c>
      <c r="D81" s="2" t="str">
        <f t="shared" si="1"/>
        <v>dPDE4D6_ERK_rolipram</v>
      </c>
      <c r="E81" s="2"/>
    </row>
    <row r="82" spans="1:5" x14ac:dyDescent="0.2">
      <c r="A82" s="2">
        <v>80</v>
      </c>
      <c r="B82" s="2">
        <v>8.5000000000000006E-2</v>
      </c>
      <c r="C82" s="2" t="s">
        <v>17</v>
      </c>
      <c r="D82" s="2" t="str">
        <f t="shared" si="1"/>
        <v>dCREB</v>
      </c>
      <c r="E82" s="2"/>
    </row>
    <row r="83" spans="1:5" x14ac:dyDescent="0.2">
      <c r="A83" s="2">
        <v>81</v>
      </c>
      <c r="B83" s="2">
        <v>1.4999999999999999E-2</v>
      </c>
      <c r="C83" s="2" t="s">
        <v>84</v>
      </c>
      <c r="D83" s="2" t="str">
        <f t="shared" si="1"/>
        <v>dpCREB</v>
      </c>
      <c r="E83" s="2"/>
    </row>
    <row r="84" spans="1:5" x14ac:dyDescent="0.2">
      <c r="A84" s="2">
        <v>82</v>
      </c>
      <c r="B84" s="2">
        <f>47/215.2*0.4</f>
        <v>8.7360594795539037E-2</v>
      </c>
      <c r="C84" s="2" t="s">
        <v>85</v>
      </c>
      <c r="D84" s="2" t="str">
        <f t="shared" si="1"/>
        <v>dPDE4A</v>
      </c>
      <c r="E84" s="2"/>
    </row>
    <row r="85" spans="1:5" x14ac:dyDescent="0.2">
      <c r="A85" s="2">
        <v>83</v>
      </c>
      <c r="B85" s="2">
        <v>0</v>
      </c>
      <c r="C85" s="2" t="s">
        <v>86</v>
      </c>
      <c r="D85" s="2" t="str">
        <f t="shared" si="1"/>
        <v>dPDE4A_rolipram</v>
      </c>
      <c r="E85" s="2"/>
    </row>
    <row r="86" spans="1:5" x14ac:dyDescent="0.2">
      <c r="A86" s="2">
        <v>84</v>
      </c>
      <c r="B86" s="2">
        <f>115.2/215.2*0.4</f>
        <v>0.21412639405204464</v>
      </c>
      <c r="C86" s="2" t="s">
        <v>87</v>
      </c>
      <c r="D86" s="2" t="str">
        <f t="shared" si="1"/>
        <v>dPDE4B</v>
      </c>
      <c r="E86" s="2"/>
    </row>
    <row r="87" spans="1:5" x14ac:dyDescent="0.2">
      <c r="A87" s="2">
        <v>85</v>
      </c>
      <c r="B87" s="2">
        <v>0</v>
      </c>
      <c r="C87" s="2" t="s">
        <v>88</v>
      </c>
      <c r="D87" s="2" t="str">
        <f t="shared" si="1"/>
        <v>dPDE4B_rolipram</v>
      </c>
      <c r="E87" s="2"/>
    </row>
    <row r="88" spans="1:5" x14ac:dyDescent="0.2">
      <c r="A88" s="2">
        <v>86</v>
      </c>
      <c r="B88" s="2">
        <v>0</v>
      </c>
      <c r="C88" s="2" t="s">
        <v>89</v>
      </c>
      <c r="D88" s="2" t="str">
        <f t="shared" si="1"/>
        <v>drolipram</v>
      </c>
      <c r="E88" s="2"/>
    </row>
    <row r="89" spans="1:5" x14ac:dyDescent="0.2">
      <c r="A89" s="8">
        <v>87</v>
      </c>
      <c r="B89" s="8">
        <v>0</v>
      </c>
      <c r="C89" t="s">
        <v>495</v>
      </c>
      <c r="D89" t="s">
        <v>496</v>
      </c>
    </row>
    <row r="90" spans="1:5" x14ac:dyDescent="0.2">
      <c r="A90" s="8">
        <v>88</v>
      </c>
      <c r="B90" s="8">
        <v>0.1</v>
      </c>
      <c r="C90" t="s">
        <v>486</v>
      </c>
      <c r="D90" t="s">
        <v>497</v>
      </c>
    </row>
    <row r="91" spans="1:5" x14ac:dyDescent="0.2">
      <c r="A91" s="8">
        <v>89</v>
      </c>
      <c r="C91" t="s">
        <v>487</v>
      </c>
      <c r="D91" t="s">
        <v>498</v>
      </c>
    </row>
    <row r="92" spans="1:5" x14ac:dyDescent="0.2">
      <c r="A92" s="8">
        <v>90</v>
      </c>
      <c r="C92" t="s">
        <v>488</v>
      </c>
      <c r="D92" t="s">
        <v>499</v>
      </c>
    </row>
    <row r="93" spans="1:5" x14ac:dyDescent="0.2">
      <c r="A93" s="8">
        <v>91</v>
      </c>
      <c r="B93">
        <v>0.1</v>
      </c>
      <c r="C93" t="s">
        <v>489</v>
      </c>
      <c r="D93" t="s">
        <v>500</v>
      </c>
    </row>
    <row r="94" spans="1:5" x14ac:dyDescent="0.2">
      <c r="A94" s="8">
        <v>92</v>
      </c>
      <c r="C94" t="s">
        <v>490</v>
      </c>
      <c r="D94" t="s">
        <v>501</v>
      </c>
    </row>
    <row r="95" spans="1:5" x14ac:dyDescent="0.2">
      <c r="A95" s="8">
        <v>93</v>
      </c>
      <c r="C95" t="s">
        <v>491</v>
      </c>
      <c r="D95" t="s">
        <v>502</v>
      </c>
    </row>
    <row r="96" spans="1:5" x14ac:dyDescent="0.2">
      <c r="A96" s="8">
        <v>94</v>
      </c>
      <c r="B96">
        <v>0.1</v>
      </c>
      <c r="C96" t="s">
        <v>492</v>
      </c>
      <c r="D96" t="s">
        <v>503</v>
      </c>
    </row>
    <row r="97" spans="1:4" x14ac:dyDescent="0.2">
      <c r="A97" s="8">
        <v>95</v>
      </c>
      <c r="C97" t="s">
        <v>493</v>
      </c>
      <c r="D97" t="s">
        <v>504</v>
      </c>
    </row>
    <row r="98" spans="1:4" x14ac:dyDescent="0.2">
      <c r="A98" s="8">
        <v>96</v>
      </c>
      <c r="C98" t="s">
        <v>494</v>
      </c>
      <c r="D98" t="s">
        <v>505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3058-8157-4432-B8BB-A3AF2930E7FC}">
  <dimension ref="A1:E98"/>
  <sheetViews>
    <sheetView topLeftCell="A84" workbookViewId="0">
      <selection activeCell="E105" sqref="E105"/>
    </sheetView>
  </sheetViews>
  <sheetFormatPr baseColWidth="10" defaultColWidth="8.83203125" defaultRowHeight="15" x14ac:dyDescent="0.2"/>
  <cols>
    <col min="3" max="3" width="26.6640625" customWidth="1"/>
    <col min="4" max="4" width="23" customWidth="1"/>
    <col min="5" max="5" width="95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90</v>
      </c>
      <c r="E1" s="1" t="s">
        <v>92</v>
      </c>
    </row>
    <row r="2" spans="1:5" ht="16" x14ac:dyDescent="0.2">
      <c r="A2" s="2">
        <v>0</v>
      </c>
      <c r="B2" s="2">
        <v>1</v>
      </c>
      <c r="C2" s="3" t="s">
        <v>3</v>
      </c>
      <c r="D2" s="2" t="str">
        <f>"d"&amp;C2</f>
        <v>dcAMP</v>
      </c>
      <c r="E2" s="2"/>
    </row>
    <row r="3" spans="1:5" x14ac:dyDescent="0.2">
      <c r="A3" s="2">
        <v>1</v>
      </c>
      <c r="B3" s="2">
        <v>0</v>
      </c>
      <c r="C3" s="2" t="s">
        <v>19</v>
      </c>
      <c r="D3" s="2" t="str">
        <f>"d"&amp;C3</f>
        <v>dAMP</v>
      </c>
      <c r="E3" s="2"/>
    </row>
    <row r="4" spans="1:5" x14ac:dyDescent="0.2">
      <c r="A4" s="2">
        <v>2</v>
      </c>
      <c r="B4" s="2">
        <v>0.48799999999999999</v>
      </c>
      <c r="C4" s="2" t="s">
        <v>18</v>
      </c>
      <c r="D4" s="2" t="str">
        <f t="shared" ref="D4:D67" si="0">"d"&amp;C4</f>
        <v>dEpac</v>
      </c>
      <c r="E4" s="2"/>
    </row>
    <row r="5" spans="1:5" x14ac:dyDescent="0.2">
      <c r="A5" s="2">
        <v>3</v>
      </c>
      <c r="B5" s="2">
        <v>0</v>
      </c>
      <c r="C5" s="2" t="s">
        <v>20</v>
      </c>
      <c r="D5" s="2" t="str">
        <f t="shared" si="0"/>
        <v>dEpac_ON</v>
      </c>
      <c r="E5" s="2"/>
    </row>
    <row r="6" spans="1:5" x14ac:dyDescent="0.2">
      <c r="A6" s="2">
        <v>4</v>
      </c>
      <c r="B6" s="2">
        <v>0.2</v>
      </c>
      <c r="C6" s="2" t="s">
        <v>21</v>
      </c>
      <c r="D6" s="2" t="str">
        <f t="shared" si="0"/>
        <v>dRAP1_GDP</v>
      </c>
      <c r="E6" s="2"/>
    </row>
    <row r="7" spans="1:5" x14ac:dyDescent="0.2">
      <c r="A7" s="2">
        <v>5</v>
      </c>
      <c r="B7" s="2">
        <v>0</v>
      </c>
      <c r="C7" s="2" t="s">
        <v>22</v>
      </c>
      <c r="D7" s="2" t="str">
        <f t="shared" si="0"/>
        <v>dRAP1_GTP</v>
      </c>
      <c r="E7" s="2"/>
    </row>
    <row r="8" spans="1:5" x14ac:dyDescent="0.2">
      <c r="A8" s="2">
        <v>6</v>
      </c>
      <c r="B8" s="2">
        <v>0.8</v>
      </c>
      <c r="C8" s="2" t="s">
        <v>23</v>
      </c>
      <c r="D8" s="2" t="str">
        <f t="shared" si="0"/>
        <v>dERK</v>
      </c>
      <c r="E8" s="2"/>
    </row>
    <row r="9" spans="1:5" x14ac:dyDescent="0.2">
      <c r="A9" s="2">
        <v>7</v>
      </c>
      <c r="B9" s="2">
        <v>0</v>
      </c>
      <c r="C9" s="2" t="s">
        <v>24</v>
      </c>
      <c r="D9" s="2" t="str">
        <f t="shared" si="0"/>
        <v>dpERK</v>
      </c>
      <c r="E9" s="2"/>
    </row>
    <row r="10" spans="1:5" x14ac:dyDescent="0.2">
      <c r="A10" s="2">
        <v>8</v>
      </c>
      <c r="B10" s="2">
        <v>0</v>
      </c>
      <c r="C10" s="2" t="s">
        <v>25</v>
      </c>
      <c r="D10" s="2" t="str">
        <f t="shared" si="0"/>
        <v>dERK_dimer</v>
      </c>
      <c r="E10" s="2"/>
    </row>
    <row r="11" spans="1:5" x14ac:dyDescent="0.2">
      <c r="A11" s="2">
        <v>9</v>
      </c>
      <c r="B11" s="2">
        <v>0</v>
      </c>
      <c r="C11" s="2" t="s">
        <v>4</v>
      </c>
      <c r="D11" s="2" t="str">
        <f t="shared" si="0"/>
        <v>dC1</v>
      </c>
      <c r="E11" s="2"/>
    </row>
    <row r="12" spans="1:5" x14ac:dyDescent="0.2">
      <c r="A12" s="2">
        <v>10</v>
      </c>
      <c r="B12" s="2">
        <v>0.17299999999999999</v>
      </c>
      <c r="C12" s="2" t="s">
        <v>26</v>
      </c>
      <c r="D12" s="2" t="str">
        <f t="shared" si="0"/>
        <v>dPKA_tet</v>
      </c>
      <c r="E12" s="2"/>
    </row>
    <row r="13" spans="1:5" x14ac:dyDescent="0.2">
      <c r="A13" s="2">
        <v>11</v>
      </c>
      <c r="B13" s="2">
        <v>2.3E-2</v>
      </c>
      <c r="C13" s="2" t="s">
        <v>27</v>
      </c>
      <c r="D13" s="2" t="str">
        <f t="shared" si="0"/>
        <v>dPKA_reg</v>
      </c>
      <c r="E13" s="2"/>
    </row>
    <row r="14" spans="1:5" x14ac:dyDescent="0.2">
      <c r="A14" s="2">
        <v>12</v>
      </c>
      <c r="B14" s="2">
        <v>2.3E-2</v>
      </c>
      <c r="C14" s="2" t="s">
        <v>28</v>
      </c>
      <c r="D14" s="2" t="str">
        <f t="shared" si="0"/>
        <v>dPKA_cat</v>
      </c>
      <c r="E14" s="2"/>
    </row>
    <row r="15" spans="1:5" x14ac:dyDescent="0.2">
      <c r="A15" s="2">
        <v>13</v>
      </c>
      <c r="B15" s="2">
        <v>0</v>
      </c>
      <c r="C15" s="2" t="s">
        <v>29</v>
      </c>
      <c r="D15" s="2" t="str">
        <f t="shared" si="0"/>
        <v>dPKA_cat1</v>
      </c>
      <c r="E15" s="2"/>
    </row>
    <row r="16" spans="1:5" ht="16" x14ac:dyDescent="0.2">
      <c r="A16" s="2">
        <v>14</v>
      </c>
      <c r="B16" s="2">
        <f>53/215.2*0.4*0.7/6</f>
        <v>1.1493184634448575E-2</v>
      </c>
      <c r="C16" s="2" t="s">
        <v>30</v>
      </c>
      <c r="D16" s="2" t="str">
        <f t="shared" si="0"/>
        <v>dPDE4D7</v>
      </c>
      <c r="E16" s="3" t="s">
        <v>91</v>
      </c>
    </row>
    <row r="17" spans="1:5" x14ac:dyDescent="0.2">
      <c r="A17" s="2">
        <v>15</v>
      </c>
      <c r="B17" s="2">
        <v>0</v>
      </c>
      <c r="C17" s="2" t="s">
        <v>31</v>
      </c>
      <c r="D17" s="2" t="str">
        <f t="shared" si="0"/>
        <v>dPDE4D7_ERK</v>
      </c>
      <c r="E17" s="2"/>
    </row>
    <row r="18" spans="1:5" x14ac:dyDescent="0.2">
      <c r="A18" s="2">
        <v>16</v>
      </c>
      <c r="B18" s="2">
        <v>0</v>
      </c>
      <c r="C18" s="2" t="s">
        <v>5</v>
      </c>
      <c r="D18" s="2" t="str">
        <f t="shared" si="0"/>
        <v>dPDE4D7_PKA</v>
      </c>
      <c r="E18" s="2"/>
    </row>
    <row r="19" spans="1:5" x14ac:dyDescent="0.2">
      <c r="A19" s="2">
        <v>17</v>
      </c>
      <c r="B19" s="2">
        <v>0</v>
      </c>
      <c r="C19" s="2" t="s">
        <v>32</v>
      </c>
      <c r="D19" s="2" t="str">
        <f t="shared" si="0"/>
        <v>dPDE4D7_DP</v>
      </c>
      <c r="E19" s="2"/>
    </row>
    <row r="20" spans="1:5" x14ac:dyDescent="0.2">
      <c r="A20" s="2">
        <v>18</v>
      </c>
      <c r="B20" s="2">
        <f>53/215.2*0.4*0.7/6</f>
        <v>1.1493184634448575E-2</v>
      </c>
      <c r="C20" s="2" t="s">
        <v>33</v>
      </c>
      <c r="D20" s="2" t="str">
        <f t="shared" si="0"/>
        <v>dPDE4D4</v>
      </c>
      <c r="E20" s="2"/>
    </row>
    <row r="21" spans="1:5" x14ac:dyDescent="0.2">
      <c r="A21" s="2">
        <v>19</v>
      </c>
      <c r="B21" s="2">
        <v>0</v>
      </c>
      <c r="C21" s="2" t="s">
        <v>34</v>
      </c>
      <c r="D21" s="2" t="str">
        <f t="shared" si="0"/>
        <v>dPDE4D4_ERK</v>
      </c>
      <c r="E21" s="2"/>
    </row>
    <row r="22" spans="1:5" x14ac:dyDescent="0.2">
      <c r="A22" s="2">
        <v>20</v>
      </c>
      <c r="B22" s="2">
        <v>0</v>
      </c>
      <c r="C22" s="2" t="s">
        <v>35</v>
      </c>
      <c r="D22" s="2" t="str">
        <f t="shared" si="0"/>
        <v>dPDE4D4_PKA</v>
      </c>
      <c r="E22" s="2"/>
    </row>
    <row r="23" spans="1:5" x14ac:dyDescent="0.2">
      <c r="A23" s="2">
        <v>21</v>
      </c>
      <c r="B23" s="2">
        <v>0</v>
      </c>
      <c r="C23" s="2" t="s">
        <v>36</v>
      </c>
      <c r="D23" s="2" t="str">
        <f t="shared" si="0"/>
        <v>dPDE4D4_DP</v>
      </c>
      <c r="E23" s="2"/>
    </row>
    <row r="24" spans="1:5" x14ac:dyDescent="0.2">
      <c r="A24" s="2">
        <v>22</v>
      </c>
      <c r="B24" s="2">
        <f>53/215.2*0.4*0.7/6</f>
        <v>1.1493184634448575E-2</v>
      </c>
      <c r="C24" s="2" t="s">
        <v>37</v>
      </c>
      <c r="D24" s="2" t="str">
        <f t="shared" si="0"/>
        <v>dPDE4D5</v>
      </c>
      <c r="E24" s="2"/>
    </row>
    <row r="25" spans="1:5" x14ac:dyDescent="0.2">
      <c r="A25" s="2">
        <v>23</v>
      </c>
      <c r="B25" s="2">
        <v>0</v>
      </c>
      <c r="C25" s="2" t="s">
        <v>38</v>
      </c>
      <c r="D25" s="2" t="str">
        <f t="shared" si="0"/>
        <v>dPDE4D5_ERK</v>
      </c>
      <c r="E25" s="2"/>
    </row>
    <row r="26" spans="1:5" x14ac:dyDescent="0.2">
      <c r="A26" s="2">
        <v>24</v>
      </c>
      <c r="B26" s="2">
        <v>0</v>
      </c>
      <c r="C26" s="2" t="s">
        <v>39</v>
      </c>
      <c r="D26" s="2" t="str">
        <f t="shared" si="0"/>
        <v>dPDE4D5_PKA</v>
      </c>
      <c r="E26" s="2"/>
    </row>
    <row r="27" spans="1:5" x14ac:dyDescent="0.2">
      <c r="A27" s="2">
        <v>25</v>
      </c>
      <c r="B27" s="2">
        <v>0</v>
      </c>
      <c r="C27" s="2" t="s">
        <v>40</v>
      </c>
      <c r="D27" s="2" t="str">
        <f t="shared" si="0"/>
        <v>dPDE4D5_DP</v>
      </c>
      <c r="E27" s="2"/>
    </row>
    <row r="28" spans="1:5" x14ac:dyDescent="0.2">
      <c r="A28" s="2">
        <v>26</v>
      </c>
      <c r="B28" s="2">
        <f>53/215.2*0.4*0.7/6</f>
        <v>1.1493184634448575E-2</v>
      </c>
      <c r="C28" s="2" t="s">
        <v>6</v>
      </c>
      <c r="D28" s="2" t="str">
        <f t="shared" si="0"/>
        <v>dPDE4D3</v>
      </c>
      <c r="E28" s="2"/>
    </row>
    <row r="29" spans="1:5" x14ac:dyDescent="0.2">
      <c r="A29" s="2">
        <v>27</v>
      </c>
      <c r="B29" s="2">
        <v>0</v>
      </c>
      <c r="C29" s="2" t="s">
        <v>41</v>
      </c>
      <c r="D29" s="2" t="str">
        <f t="shared" si="0"/>
        <v>dPDE4D3_ERK</v>
      </c>
      <c r="E29" s="2"/>
    </row>
    <row r="30" spans="1:5" x14ac:dyDescent="0.2">
      <c r="A30" s="2">
        <v>28</v>
      </c>
      <c r="B30" s="2">
        <v>0</v>
      </c>
      <c r="C30" s="2" t="s">
        <v>42</v>
      </c>
      <c r="D30" s="2" t="str">
        <f t="shared" si="0"/>
        <v>dPDE4D3_PKA</v>
      </c>
      <c r="E30" s="2"/>
    </row>
    <row r="31" spans="1:5" x14ac:dyDescent="0.2">
      <c r="A31" s="2">
        <v>29</v>
      </c>
      <c r="B31" s="2">
        <v>0</v>
      </c>
      <c r="C31" s="2" t="s">
        <v>43</v>
      </c>
      <c r="D31" s="2" t="str">
        <f t="shared" si="0"/>
        <v>dPDE4D3_DP</v>
      </c>
      <c r="E31" s="2"/>
    </row>
    <row r="32" spans="1:5" x14ac:dyDescent="0.2">
      <c r="A32" s="2">
        <v>30</v>
      </c>
      <c r="B32" s="2">
        <f>53/215.2*0.4*0.7/6</f>
        <v>1.1493184634448575E-2</v>
      </c>
      <c r="C32" s="2" t="s">
        <v>44</v>
      </c>
      <c r="D32" s="2" t="str">
        <f t="shared" si="0"/>
        <v>dPDE4D8</v>
      </c>
      <c r="E32" s="2"/>
    </row>
    <row r="33" spans="1:5" x14ac:dyDescent="0.2">
      <c r="A33" s="2">
        <v>31</v>
      </c>
      <c r="B33" s="2">
        <v>0</v>
      </c>
      <c r="C33" s="2" t="s">
        <v>45</v>
      </c>
      <c r="D33" s="2" t="str">
        <f t="shared" si="0"/>
        <v>dPDE4D8_ERK</v>
      </c>
      <c r="E33" s="2"/>
    </row>
    <row r="34" spans="1:5" x14ac:dyDescent="0.2">
      <c r="A34" s="2">
        <v>32</v>
      </c>
      <c r="B34" s="2">
        <v>0</v>
      </c>
      <c r="C34" s="2" t="s">
        <v>7</v>
      </c>
      <c r="D34" s="2" t="str">
        <f t="shared" si="0"/>
        <v>dPDE4D8_PKA</v>
      </c>
      <c r="E34" s="2"/>
    </row>
    <row r="35" spans="1:5" x14ac:dyDescent="0.2">
      <c r="A35" s="2">
        <v>33</v>
      </c>
      <c r="B35" s="2">
        <v>0</v>
      </c>
      <c r="C35" s="2" t="s">
        <v>46</v>
      </c>
      <c r="D35" s="2" t="str">
        <f t="shared" si="0"/>
        <v>dPDE4D8_DP</v>
      </c>
      <c r="E35" s="2"/>
    </row>
    <row r="36" spans="1:5" x14ac:dyDescent="0.2">
      <c r="A36" s="2">
        <v>34</v>
      </c>
      <c r="B36" s="2">
        <f>53/215.2*0.4*0.7/6</f>
        <v>1.1493184634448575E-2</v>
      </c>
      <c r="C36" s="2" t="s">
        <v>47</v>
      </c>
      <c r="D36" s="2" t="str">
        <f t="shared" si="0"/>
        <v>dPDE4D9</v>
      </c>
      <c r="E36" s="2"/>
    </row>
    <row r="37" spans="1:5" x14ac:dyDescent="0.2">
      <c r="A37" s="2">
        <v>35</v>
      </c>
      <c r="B37" s="2">
        <v>0</v>
      </c>
      <c r="C37" s="2" t="s">
        <v>48</v>
      </c>
      <c r="D37" s="2" t="str">
        <f t="shared" si="0"/>
        <v>dPDE4D9_ERK</v>
      </c>
      <c r="E37" s="2"/>
    </row>
    <row r="38" spans="1:5" x14ac:dyDescent="0.2">
      <c r="A38" s="2">
        <v>36</v>
      </c>
      <c r="B38" s="2">
        <v>0</v>
      </c>
      <c r="C38" s="2" t="s">
        <v>49</v>
      </c>
      <c r="D38" s="2" t="str">
        <f t="shared" si="0"/>
        <v>dPDE4D9_PKA</v>
      </c>
      <c r="E38" s="2"/>
    </row>
    <row r="39" spans="1:5" x14ac:dyDescent="0.2">
      <c r="A39" s="2">
        <v>37</v>
      </c>
      <c r="B39" s="2">
        <v>0</v>
      </c>
      <c r="C39" s="2" t="s">
        <v>50</v>
      </c>
      <c r="D39" s="2" t="str">
        <f t="shared" si="0"/>
        <v>dPDE4D9_DP</v>
      </c>
      <c r="E39" s="2"/>
    </row>
    <row r="40" spans="1:5" x14ac:dyDescent="0.2">
      <c r="A40" s="2">
        <v>38</v>
      </c>
      <c r="B40" s="2">
        <f>53/215.2*0.4*0.11</f>
        <v>1.0836431226765801E-2</v>
      </c>
      <c r="C40" s="2" t="s">
        <v>51</v>
      </c>
      <c r="D40" s="2" t="str">
        <f t="shared" si="0"/>
        <v>dPDE4D1</v>
      </c>
      <c r="E40" s="2"/>
    </row>
    <row r="41" spans="1:5" x14ac:dyDescent="0.2">
      <c r="A41" s="2">
        <v>39</v>
      </c>
      <c r="B41" s="2">
        <v>0</v>
      </c>
      <c r="C41" s="2" t="s">
        <v>52</v>
      </c>
      <c r="D41" s="2" t="str">
        <f t="shared" si="0"/>
        <v>dPDE4D1_ERK</v>
      </c>
      <c r="E41" s="2"/>
    </row>
    <row r="42" spans="1:5" x14ac:dyDescent="0.2">
      <c r="A42" s="2">
        <v>40</v>
      </c>
      <c r="B42" s="2">
        <v>0</v>
      </c>
      <c r="C42" s="2" t="s">
        <v>53</v>
      </c>
      <c r="D42" s="2" t="str">
        <f t="shared" si="0"/>
        <v>dPDE4D1_PKA</v>
      </c>
      <c r="E42" s="2"/>
    </row>
    <row r="43" spans="1:5" x14ac:dyDescent="0.2">
      <c r="A43" s="2">
        <v>41</v>
      </c>
      <c r="B43" s="2">
        <v>0</v>
      </c>
      <c r="C43" s="2" t="s">
        <v>54</v>
      </c>
      <c r="D43" s="2" t="str">
        <f t="shared" si="0"/>
        <v>dPDE4D1_DP</v>
      </c>
      <c r="E43" s="2"/>
    </row>
    <row r="44" spans="1:5" x14ac:dyDescent="0.2">
      <c r="A44" s="2">
        <v>42</v>
      </c>
      <c r="B44" s="2">
        <f>53/215.2*0.4*0.19/2</f>
        <v>9.3587360594795544E-3</v>
      </c>
      <c r="C44" s="2" t="s">
        <v>55</v>
      </c>
      <c r="D44" s="2" t="str">
        <f t="shared" si="0"/>
        <v>dPDE4D2</v>
      </c>
      <c r="E44" s="2"/>
    </row>
    <row r="45" spans="1:5" x14ac:dyDescent="0.2">
      <c r="A45" s="2">
        <v>43</v>
      </c>
      <c r="B45" s="2">
        <v>0</v>
      </c>
      <c r="C45" s="2" t="s">
        <v>8</v>
      </c>
      <c r="D45" s="2" t="str">
        <f t="shared" si="0"/>
        <v>dPDE4D2_ERK</v>
      </c>
      <c r="E45" s="2"/>
    </row>
    <row r="46" spans="1:5" x14ac:dyDescent="0.2">
      <c r="A46" s="2">
        <v>44</v>
      </c>
      <c r="B46" s="2">
        <v>0</v>
      </c>
      <c r="C46" s="2" t="s">
        <v>56</v>
      </c>
      <c r="D46" s="2" t="str">
        <f t="shared" si="0"/>
        <v>dPDE4D2_PKA</v>
      </c>
      <c r="E46" s="2"/>
    </row>
    <row r="47" spans="1:5" x14ac:dyDescent="0.2">
      <c r="A47" s="2">
        <v>45</v>
      </c>
      <c r="B47" s="2">
        <v>0</v>
      </c>
      <c r="C47" s="2" t="s">
        <v>57</v>
      </c>
      <c r="D47" s="2" t="str">
        <f t="shared" si="0"/>
        <v>dPDE4D2_DP</v>
      </c>
      <c r="E47" s="2"/>
    </row>
    <row r="48" spans="1:5" x14ac:dyDescent="0.2">
      <c r="A48" s="2">
        <v>46</v>
      </c>
      <c r="B48" s="2">
        <f>53/215.2*0.4*0.19/2</f>
        <v>9.3587360594795544E-3</v>
      </c>
      <c r="C48" s="2" t="s">
        <v>58</v>
      </c>
      <c r="D48" s="2" t="str">
        <f t="shared" si="0"/>
        <v>dPDE4D6</v>
      </c>
      <c r="E48" s="2"/>
    </row>
    <row r="49" spans="1:5" x14ac:dyDescent="0.2">
      <c r="A49" s="2">
        <v>47</v>
      </c>
      <c r="B49" s="2">
        <v>0</v>
      </c>
      <c r="C49" s="2" t="s">
        <v>59</v>
      </c>
      <c r="D49" s="2" t="str">
        <f t="shared" si="0"/>
        <v>dPDE4D6_ERK</v>
      </c>
      <c r="E49" s="2"/>
    </row>
    <row r="50" spans="1:5" x14ac:dyDescent="0.2">
      <c r="A50" s="2">
        <v>48</v>
      </c>
      <c r="B50" s="2">
        <v>0</v>
      </c>
      <c r="C50" s="2" t="s">
        <v>9</v>
      </c>
      <c r="D50" s="2" t="str">
        <f t="shared" si="0"/>
        <v>dPDE4D6_PKA</v>
      </c>
      <c r="E50" s="2"/>
    </row>
    <row r="51" spans="1:5" x14ac:dyDescent="0.2">
      <c r="A51" s="2">
        <v>49</v>
      </c>
      <c r="B51" s="2">
        <v>0</v>
      </c>
      <c r="C51" s="2" t="s">
        <v>60</v>
      </c>
      <c r="D51" s="2" t="str">
        <f t="shared" si="0"/>
        <v>dPDE4D6_DP</v>
      </c>
      <c r="E51" s="2"/>
    </row>
    <row r="52" spans="1:5" x14ac:dyDescent="0.2">
      <c r="A52" s="2">
        <v>50</v>
      </c>
      <c r="B52" s="2">
        <v>0</v>
      </c>
      <c r="C52" s="2" t="s">
        <v>61</v>
      </c>
      <c r="D52" s="2" t="str">
        <f t="shared" si="0"/>
        <v>dPDE4D7_rolipram</v>
      </c>
      <c r="E52" s="2"/>
    </row>
    <row r="53" spans="1:5" x14ac:dyDescent="0.2">
      <c r="A53" s="2">
        <v>51</v>
      </c>
      <c r="B53" s="2">
        <v>0</v>
      </c>
      <c r="C53" s="2" t="s">
        <v>62</v>
      </c>
      <c r="D53" s="2" t="str">
        <f t="shared" si="0"/>
        <v>dPDE4D7_ERK_rolipram</v>
      </c>
      <c r="E53" s="2"/>
    </row>
    <row r="54" spans="1:5" x14ac:dyDescent="0.2">
      <c r="A54" s="2">
        <v>52</v>
      </c>
      <c r="B54" s="2">
        <v>0</v>
      </c>
      <c r="C54" s="2" t="s">
        <v>10</v>
      </c>
      <c r="D54" s="2" t="str">
        <f t="shared" si="0"/>
        <v>dPDE4D7_PKA_rolipram</v>
      </c>
      <c r="E54" s="2"/>
    </row>
    <row r="55" spans="1:5" x14ac:dyDescent="0.2">
      <c r="A55" s="2">
        <v>53</v>
      </c>
      <c r="B55" s="2">
        <v>0</v>
      </c>
      <c r="C55" s="2" t="s">
        <v>63</v>
      </c>
      <c r="D55" s="2" t="str">
        <f t="shared" si="0"/>
        <v>dPDE4D7_DP_rolipram</v>
      </c>
      <c r="E55" s="2"/>
    </row>
    <row r="56" spans="1:5" x14ac:dyDescent="0.2">
      <c r="A56" s="2">
        <v>54</v>
      </c>
      <c r="B56" s="2">
        <v>0</v>
      </c>
      <c r="C56" s="2" t="s">
        <v>64</v>
      </c>
      <c r="D56" s="2" t="str">
        <f t="shared" si="0"/>
        <v>dPDE4D4_rolipram</v>
      </c>
      <c r="E56" s="2"/>
    </row>
    <row r="57" spans="1:5" x14ac:dyDescent="0.2">
      <c r="A57" s="2">
        <v>55</v>
      </c>
      <c r="B57" s="2">
        <v>0</v>
      </c>
      <c r="C57" s="2" t="s">
        <v>65</v>
      </c>
      <c r="D57" s="2" t="str">
        <f t="shared" si="0"/>
        <v>dPDE4D4_ERK_rolipram</v>
      </c>
      <c r="E57" s="2"/>
    </row>
    <row r="58" spans="1:5" x14ac:dyDescent="0.2">
      <c r="A58" s="2">
        <v>56</v>
      </c>
      <c r="B58" s="2">
        <v>0</v>
      </c>
      <c r="C58" s="2" t="s">
        <v>11</v>
      </c>
      <c r="D58" s="2" t="str">
        <f t="shared" si="0"/>
        <v>dPDE4D4_PKA_rolipram</v>
      </c>
      <c r="E58" s="2"/>
    </row>
    <row r="59" spans="1:5" x14ac:dyDescent="0.2">
      <c r="A59" s="2">
        <v>57</v>
      </c>
      <c r="B59" s="2">
        <v>0</v>
      </c>
      <c r="C59" s="2" t="s">
        <v>66</v>
      </c>
      <c r="D59" s="2" t="str">
        <f t="shared" si="0"/>
        <v>dPDE4D4_DP_rolipram</v>
      </c>
      <c r="E59" s="2"/>
    </row>
    <row r="60" spans="1:5" x14ac:dyDescent="0.2">
      <c r="A60" s="2">
        <v>58</v>
      </c>
      <c r="B60" s="2">
        <v>0</v>
      </c>
      <c r="C60" s="2" t="s">
        <v>67</v>
      </c>
      <c r="D60" s="2" t="str">
        <f t="shared" si="0"/>
        <v>dPDE4D5_rolipram</v>
      </c>
      <c r="E60" s="2"/>
    </row>
    <row r="61" spans="1:5" x14ac:dyDescent="0.2">
      <c r="A61" s="2">
        <v>59</v>
      </c>
      <c r="B61" s="2">
        <v>0</v>
      </c>
      <c r="C61" s="2" t="s">
        <v>68</v>
      </c>
      <c r="D61" s="2" t="str">
        <f t="shared" si="0"/>
        <v>dPDE4D5_ERK_rolipram</v>
      </c>
      <c r="E61" s="2"/>
    </row>
    <row r="62" spans="1:5" x14ac:dyDescent="0.2">
      <c r="A62" s="2">
        <v>60</v>
      </c>
      <c r="B62" s="2">
        <v>0</v>
      </c>
      <c r="C62" s="2" t="s">
        <v>12</v>
      </c>
      <c r="D62" s="2" t="str">
        <f t="shared" si="0"/>
        <v>dPDE4D5_PKA_rolipram</v>
      </c>
      <c r="E62" s="2"/>
    </row>
    <row r="63" spans="1:5" x14ac:dyDescent="0.2">
      <c r="A63" s="2">
        <v>61</v>
      </c>
      <c r="B63" s="2">
        <v>0</v>
      </c>
      <c r="C63" s="2" t="s">
        <v>69</v>
      </c>
      <c r="D63" s="2" t="str">
        <f t="shared" si="0"/>
        <v>dPDE4D5_DP_rolipram</v>
      </c>
      <c r="E63" s="2"/>
    </row>
    <row r="64" spans="1:5" x14ac:dyDescent="0.2">
      <c r="A64" s="2">
        <v>62</v>
      </c>
      <c r="B64" s="2">
        <v>0</v>
      </c>
      <c r="C64" s="2" t="s">
        <v>70</v>
      </c>
      <c r="D64" s="2" t="str">
        <f t="shared" si="0"/>
        <v>dPDE4D3_rolipram</v>
      </c>
      <c r="E64" s="2"/>
    </row>
    <row r="65" spans="1:5" x14ac:dyDescent="0.2">
      <c r="A65" s="2">
        <v>63</v>
      </c>
      <c r="B65" s="2">
        <v>0</v>
      </c>
      <c r="C65" s="2" t="s">
        <v>71</v>
      </c>
      <c r="D65" s="2" t="str">
        <f t="shared" si="0"/>
        <v>dPDE4D3_ERK_rolipram</v>
      </c>
      <c r="E65" s="2"/>
    </row>
    <row r="66" spans="1:5" x14ac:dyDescent="0.2">
      <c r="A66" s="2">
        <v>64</v>
      </c>
      <c r="B66" s="2">
        <v>0</v>
      </c>
      <c r="C66" s="2" t="s">
        <v>13</v>
      </c>
      <c r="D66" s="2" t="str">
        <f t="shared" si="0"/>
        <v>dPDE4D3_PKA_rolipram</v>
      </c>
      <c r="E66" s="2"/>
    </row>
    <row r="67" spans="1:5" x14ac:dyDescent="0.2">
      <c r="A67" s="2">
        <v>65</v>
      </c>
      <c r="B67" s="2">
        <v>0</v>
      </c>
      <c r="C67" s="2" t="s">
        <v>72</v>
      </c>
      <c r="D67" s="2" t="str">
        <f t="shared" si="0"/>
        <v>dPDE4D3_DP_rolipram</v>
      </c>
      <c r="E67" s="2"/>
    </row>
    <row r="68" spans="1:5" x14ac:dyDescent="0.2">
      <c r="A68" s="2">
        <v>66</v>
      </c>
      <c r="B68" s="2">
        <v>0</v>
      </c>
      <c r="C68" s="2" t="s">
        <v>73</v>
      </c>
      <c r="D68" s="2" t="str">
        <f t="shared" ref="D68:D88" si="1">"d"&amp;C68</f>
        <v>dPDE4D8_rolipram</v>
      </c>
      <c r="E68" s="2"/>
    </row>
    <row r="69" spans="1:5" x14ac:dyDescent="0.2">
      <c r="A69" s="2">
        <v>67</v>
      </c>
      <c r="B69" s="2">
        <v>0</v>
      </c>
      <c r="C69" s="2" t="s">
        <v>74</v>
      </c>
      <c r="D69" s="2" t="str">
        <f t="shared" si="1"/>
        <v>dPDE4D8_ERK_rolipram</v>
      </c>
      <c r="E69" s="2"/>
    </row>
    <row r="70" spans="1:5" x14ac:dyDescent="0.2">
      <c r="A70" s="2">
        <v>68</v>
      </c>
      <c r="B70" s="2">
        <v>0</v>
      </c>
      <c r="C70" s="2" t="s">
        <v>14</v>
      </c>
      <c r="D70" s="2" t="str">
        <f t="shared" si="1"/>
        <v>dPDE4D8_PKA_rolipram</v>
      </c>
      <c r="E70" s="2"/>
    </row>
    <row r="71" spans="1:5" x14ac:dyDescent="0.2">
      <c r="A71" s="2">
        <v>69</v>
      </c>
      <c r="B71" s="2">
        <v>0</v>
      </c>
      <c r="C71" s="2" t="s">
        <v>75</v>
      </c>
      <c r="D71" s="2" t="str">
        <f t="shared" si="1"/>
        <v>dPDE4D8_DP_rolipram</v>
      </c>
      <c r="E71" s="2"/>
    </row>
    <row r="72" spans="1:5" x14ac:dyDescent="0.2">
      <c r="A72" s="2">
        <v>70</v>
      </c>
      <c r="B72" s="2">
        <v>0</v>
      </c>
      <c r="C72" s="2" t="s">
        <v>76</v>
      </c>
      <c r="D72" s="2" t="str">
        <f t="shared" si="1"/>
        <v>dPDE4D9_rolipram</v>
      </c>
      <c r="E72" s="2"/>
    </row>
    <row r="73" spans="1:5" x14ac:dyDescent="0.2">
      <c r="A73" s="2">
        <v>71</v>
      </c>
      <c r="B73" s="2">
        <v>0</v>
      </c>
      <c r="C73" s="2" t="s">
        <v>77</v>
      </c>
      <c r="D73" s="2" t="str">
        <f t="shared" si="1"/>
        <v>dPDE4D9_ERK_rolipram</v>
      </c>
      <c r="E73" s="2"/>
    </row>
    <row r="74" spans="1:5" x14ac:dyDescent="0.2">
      <c r="A74" s="2">
        <v>72</v>
      </c>
      <c r="B74" s="2">
        <v>0</v>
      </c>
      <c r="C74" s="2" t="s">
        <v>15</v>
      </c>
      <c r="D74" s="2" t="str">
        <f t="shared" si="1"/>
        <v>dPDE4D9_PKA_rolipram</v>
      </c>
      <c r="E74" s="2"/>
    </row>
    <row r="75" spans="1:5" x14ac:dyDescent="0.2">
      <c r="A75" s="2">
        <v>73</v>
      </c>
      <c r="B75" s="2">
        <v>0</v>
      </c>
      <c r="C75" s="2" t="s">
        <v>78</v>
      </c>
      <c r="D75" s="2" t="str">
        <f t="shared" si="1"/>
        <v>dPDE4D9_DP_rolipram</v>
      </c>
      <c r="E75" s="2"/>
    </row>
    <row r="76" spans="1:5" x14ac:dyDescent="0.2">
      <c r="A76" s="2">
        <v>74</v>
      </c>
      <c r="B76" s="2">
        <v>0</v>
      </c>
      <c r="C76" s="2" t="s">
        <v>79</v>
      </c>
      <c r="D76" s="2" t="str">
        <f t="shared" si="1"/>
        <v>dPDE4D1_rolipram</v>
      </c>
      <c r="E76" s="2"/>
    </row>
    <row r="77" spans="1:5" x14ac:dyDescent="0.2">
      <c r="A77" s="2">
        <v>75</v>
      </c>
      <c r="B77" s="2">
        <v>0</v>
      </c>
      <c r="C77" s="2" t="s">
        <v>80</v>
      </c>
      <c r="D77" s="2" t="str">
        <f t="shared" si="1"/>
        <v>dPDE4D1_ERK_rolipram</v>
      </c>
      <c r="E77" s="2"/>
    </row>
    <row r="78" spans="1:5" x14ac:dyDescent="0.2">
      <c r="A78" s="2">
        <v>76</v>
      </c>
      <c r="B78" s="2">
        <v>0</v>
      </c>
      <c r="C78" s="2" t="s">
        <v>16</v>
      </c>
      <c r="D78" s="2" t="str">
        <f t="shared" si="1"/>
        <v>dPDE4D2_rolipram</v>
      </c>
      <c r="E78" s="2"/>
    </row>
    <row r="79" spans="1:5" x14ac:dyDescent="0.2">
      <c r="A79" s="2">
        <v>77</v>
      </c>
      <c r="B79" s="2">
        <v>0</v>
      </c>
      <c r="C79" s="2" t="s">
        <v>81</v>
      </c>
      <c r="D79" s="2" t="str">
        <f t="shared" si="1"/>
        <v>dPDE4D2_ERK_rolipram</v>
      </c>
      <c r="E79" s="2"/>
    </row>
    <row r="80" spans="1:5" x14ac:dyDescent="0.2">
      <c r="A80" s="2">
        <v>78</v>
      </c>
      <c r="B80" s="2">
        <v>0</v>
      </c>
      <c r="C80" s="2" t="s">
        <v>82</v>
      </c>
      <c r="D80" s="2" t="str">
        <f t="shared" si="1"/>
        <v>dPDE4D6_rolipram</v>
      </c>
      <c r="E80" s="2"/>
    </row>
    <row r="81" spans="1:5" x14ac:dyDescent="0.2">
      <c r="A81" s="2">
        <v>79</v>
      </c>
      <c r="B81" s="2">
        <v>0</v>
      </c>
      <c r="C81" s="2" t="s">
        <v>83</v>
      </c>
      <c r="D81" s="2" t="str">
        <f t="shared" si="1"/>
        <v>dPDE4D6_ERK_rolipram</v>
      </c>
      <c r="E81" s="2"/>
    </row>
    <row r="82" spans="1:5" x14ac:dyDescent="0.2">
      <c r="A82" s="2">
        <v>80</v>
      </c>
      <c r="B82" s="2">
        <v>8.5000000000000006E-2</v>
      </c>
      <c r="C82" s="2" t="s">
        <v>17</v>
      </c>
      <c r="D82" s="2" t="str">
        <f t="shared" si="1"/>
        <v>dCREB</v>
      </c>
      <c r="E82" s="2"/>
    </row>
    <row r="83" spans="1:5" x14ac:dyDescent="0.2">
      <c r="A83" s="2">
        <v>81</v>
      </c>
      <c r="B83" s="2">
        <v>1.4999999999999999E-2</v>
      </c>
      <c r="C83" s="2" t="s">
        <v>84</v>
      </c>
      <c r="D83" s="2" t="str">
        <f t="shared" si="1"/>
        <v>dpCREB</v>
      </c>
      <c r="E83" s="2"/>
    </row>
    <row r="84" spans="1:5" x14ac:dyDescent="0.2">
      <c r="A84" s="2">
        <v>82</v>
      </c>
      <c r="B84" s="2">
        <f>47/215.2*0.4</f>
        <v>8.7360594795539037E-2</v>
      </c>
      <c r="C84" s="2" t="s">
        <v>85</v>
      </c>
      <c r="D84" s="2" t="str">
        <f t="shared" si="1"/>
        <v>dPDE4A</v>
      </c>
      <c r="E84" s="2"/>
    </row>
    <row r="85" spans="1:5" x14ac:dyDescent="0.2">
      <c r="A85" s="2">
        <v>83</v>
      </c>
      <c r="B85" s="2">
        <v>0</v>
      </c>
      <c r="C85" s="2" t="s">
        <v>86</v>
      </c>
      <c r="D85" s="2" t="str">
        <f t="shared" si="1"/>
        <v>dPDE4A_rolipram</v>
      </c>
      <c r="E85" s="2"/>
    </row>
    <row r="86" spans="1:5" x14ac:dyDescent="0.2">
      <c r="A86" s="2">
        <v>84</v>
      </c>
      <c r="B86" s="2">
        <f>115.2/215.2*0.4</f>
        <v>0.21412639405204464</v>
      </c>
      <c r="C86" s="2" t="s">
        <v>87</v>
      </c>
      <c r="D86" s="2" t="str">
        <f t="shared" si="1"/>
        <v>dPDE4B</v>
      </c>
      <c r="E86" s="2"/>
    </row>
    <row r="87" spans="1:5" x14ac:dyDescent="0.2">
      <c r="A87" s="2">
        <v>85</v>
      </c>
      <c r="B87" s="2">
        <v>0</v>
      </c>
      <c r="C87" s="2" t="s">
        <v>88</v>
      </c>
      <c r="D87" s="2" t="str">
        <f t="shared" si="1"/>
        <v>dPDE4B_rolipram</v>
      </c>
      <c r="E87" s="2"/>
    </row>
    <row r="88" spans="1:5" x14ac:dyDescent="0.2">
      <c r="A88" s="2">
        <v>86</v>
      </c>
      <c r="B88" s="2">
        <v>0</v>
      </c>
      <c r="C88" s="2" t="s">
        <v>89</v>
      </c>
      <c r="D88" s="2" t="str">
        <f t="shared" si="1"/>
        <v>drolipram</v>
      </c>
      <c r="E88" s="2"/>
    </row>
    <row r="89" spans="1:5" x14ac:dyDescent="0.2">
      <c r="A89" s="8">
        <v>87</v>
      </c>
      <c r="B89" s="8">
        <v>1</v>
      </c>
      <c r="C89" t="s">
        <v>495</v>
      </c>
      <c r="D89" t="s">
        <v>496</v>
      </c>
    </row>
    <row r="90" spans="1:5" x14ac:dyDescent="0.2">
      <c r="A90" s="8">
        <v>88</v>
      </c>
      <c r="B90" s="8">
        <v>0.1</v>
      </c>
      <c r="C90" t="s">
        <v>486</v>
      </c>
      <c r="D90" t="s">
        <v>497</v>
      </c>
    </row>
    <row r="91" spans="1:5" x14ac:dyDescent="0.2">
      <c r="A91" s="8">
        <v>89</v>
      </c>
      <c r="C91" t="s">
        <v>487</v>
      </c>
      <c r="D91" t="s">
        <v>498</v>
      </c>
    </row>
    <row r="92" spans="1:5" x14ac:dyDescent="0.2">
      <c r="A92" s="8">
        <v>90</v>
      </c>
      <c r="C92" t="s">
        <v>488</v>
      </c>
      <c r="D92" t="s">
        <v>499</v>
      </c>
    </row>
    <row r="93" spans="1:5" x14ac:dyDescent="0.2">
      <c r="A93" s="8">
        <v>91</v>
      </c>
      <c r="B93">
        <v>0.1</v>
      </c>
      <c r="C93" t="s">
        <v>489</v>
      </c>
      <c r="D93" t="s">
        <v>500</v>
      </c>
    </row>
    <row r="94" spans="1:5" x14ac:dyDescent="0.2">
      <c r="A94" s="8">
        <v>92</v>
      </c>
      <c r="C94" t="s">
        <v>490</v>
      </c>
      <c r="D94" t="s">
        <v>501</v>
      </c>
    </row>
    <row r="95" spans="1:5" x14ac:dyDescent="0.2">
      <c r="A95" s="8">
        <v>93</v>
      </c>
      <c r="C95" t="s">
        <v>491</v>
      </c>
      <c r="D95" t="s">
        <v>502</v>
      </c>
    </row>
    <row r="96" spans="1:5" x14ac:dyDescent="0.2">
      <c r="A96" s="8">
        <v>94</v>
      </c>
      <c r="B96">
        <v>0.1</v>
      </c>
      <c r="C96" t="s">
        <v>492</v>
      </c>
      <c r="D96" t="s">
        <v>503</v>
      </c>
    </row>
    <row r="97" spans="1:4" x14ac:dyDescent="0.2">
      <c r="A97" s="8">
        <v>95</v>
      </c>
      <c r="C97" t="s">
        <v>493</v>
      </c>
      <c r="D97" t="s">
        <v>504</v>
      </c>
    </row>
    <row r="98" spans="1:4" x14ac:dyDescent="0.2">
      <c r="A98" s="8">
        <v>96</v>
      </c>
      <c r="C98" t="s">
        <v>494</v>
      </c>
      <c r="D98" t="s">
        <v>505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14F-AF7F-4404-89BC-D93EC6E7F054}">
  <dimension ref="A1:F381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27.1640625" customWidth="1"/>
    <col min="3" max="3" width="26" customWidth="1"/>
    <col min="4" max="4" width="32.83203125" customWidth="1"/>
    <col min="5" max="5" width="22.5" customWidth="1"/>
    <col min="6" max="6" width="19.1640625" customWidth="1"/>
  </cols>
  <sheetData>
    <row r="1" spans="1:3" x14ac:dyDescent="0.2">
      <c r="A1" t="s">
        <v>2</v>
      </c>
      <c r="B1" s="5" t="s">
        <v>1</v>
      </c>
      <c r="C1" t="s">
        <v>92</v>
      </c>
    </row>
    <row r="2" spans="1:3" x14ac:dyDescent="0.2">
      <c r="A2" t="s">
        <v>93</v>
      </c>
      <c r="B2" s="5">
        <v>10</v>
      </c>
    </row>
    <row r="3" spans="1:3" x14ac:dyDescent="0.2">
      <c r="A3" t="s">
        <v>94</v>
      </c>
      <c r="B3" s="5">
        <v>1.8</v>
      </c>
    </row>
    <row r="4" spans="1:3" x14ac:dyDescent="0.2">
      <c r="A4" t="s">
        <v>95</v>
      </c>
      <c r="B4" s="5">
        <v>0.01</v>
      </c>
    </row>
    <row r="5" spans="1:3" x14ac:dyDescent="0.2">
      <c r="A5" t="s">
        <v>98</v>
      </c>
      <c r="B5" s="5">
        <v>1.8</v>
      </c>
    </row>
    <row r="6" spans="1:3" x14ac:dyDescent="0.2">
      <c r="A6" t="s">
        <v>96</v>
      </c>
      <c r="B6" s="5">
        <v>27</v>
      </c>
    </row>
    <row r="7" spans="1:3" x14ac:dyDescent="0.2">
      <c r="A7" t="s">
        <v>97</v>
      </c>
      <c r="B7" s="5">
        <v>1.8</v>
      </c>
    </row>
    <row r="8" spans="1:3" x14ac:dyDescent="0.2">
      <c r="A8" t="s">
        <v>99</v>
      </c>
      <c r="B8" s="5">
        <v>10</v>
      </c>
    </row>
    <row r="9" spans="1:3" x14ac:dyDescent="0.2">
      <c r="A9" t="s">
        <v>100</v>
      </c>
      <c r="B9" s="5">
        <v>1.8</v>
      </c>
    </row>
    <row r="10" spans="1:3" x14ac:dyDescent="0.2">
      <c r="A10" t="s">
        <v>108</v>
      </c>
      <c r="B10" s="5">
        <v>10</v>
      </c>
    </row>
    <row r="11" spans="1:3" x14ac:dyDescent="0.2">
      <c r="A11" t="s">
        <v>101</v>
      </c>
      <c r="B11" s="5">
        <v>1.8</v>
      </c>
    </row>
    <row r="12" spans="1:3" x14ac:dyDescent="0.2">
      <c r="A12" t="s">
        <v>102</v>
      </c>
      <c r="B12" s="5">
        <v>0.01</v>
      </c>
    </row>
    <row r="13" spans="1:3" x14ac:dyDescent="0.2">
      <c r="A13" t="s">
        <v>103</v>
      </c>
      <c r="B13" s="5">
        <v>1.8</v>
      </c>
    </row>
    <row r="14" spans="1:3" x14ac:dyDescent="0.2">
      <c r="A14" t="s">
        <v>104</v>
      </c>
      <c r="B14" s="5">
        <v>27</v>
      </c>
    </row>
    <row r="15" spans="1:3" x14ac:dyDescent="0.2">
      <c r="A15" t="s">
        <v>105</v>
      </c>
      <c r="B15" s="5">
        <v>1.8</v>
      </c>
    </row>
    <row r="16" spans="1:3" x14ac:dyDescent="0.2">
      <c r="A16" t="s">
        <v>106</v>
      </c>
      <c r="B16" s="5">
        <v>10</v>
      </c>
    </row>
    <row r="17" spans="1:2" x14ac:dyDescent="0.2">
      <c r="A17" t="s">
        <v>107</v>
      </c>
      <c r="B17" s="5">
        <v>1.8</v>
      </c>
    </row>
    <row r="18" spans="1:2" x14ac:dyDescent="0.2">
      <c r="A18" t="s">
        <v>115</v>
      </c>
      <c r="B18" s="5">
        <v>10</v>
      </c>
    </row>
    <row r="19" spans="1:2" x14ac:dyDescent="0.2">
      <c r="A19" t="s">
        <v>116</v>
      </c>
      <c r="B19" s="5">
        <v>1.8</v>
      </c>
    </row>
    <row r="20" spans="1:2" x14ac:dyDescent="0.2">
      <c r="A20" t="s">
        <v>109</v>
      </c>
      <c r="B20" s="6">
        <v>0.01</v>
      </c>
    </row>
    <row r="21" spans="1:2" x14ac:dyDescent="0.2">
      <c r="A21" t="s">
        <v>110</v>
      </c>
      <c r="B21" s="5">
        <v>1.8</v>
      </c>
    </row>
    <row r="22" spans="1:2" x14ac:dyDescent="0.2">
      <c r="A22" t="s">
        <v>111</v>
      </c>
      <c r="B22" s="5">
        <v>27</v>
      </c>
    </row>
    <row r="23" spans="1:2" x14ac:dyDescent="0.2">
      <c r="A23" t="s">
        <v>112</v>
      </c>
      <c r="B23" s="5">
        <v>1.8</v>
      </c>
    </row>
    <row r="24" spans="1:2" x14ac:dyDescent="0.2">
      <c r="A24" t="s">
        <v>113</v>
      </c>
      <c r="B24" s="5">
        <v>10</v>
      </c>
    </row>
    <row r="25" spans="1:2" x14ac:dyDescent="0.2">
      <c r="A25" t="s">
        <v>114</v>
      </c>
      <c r="B25" s="5">
        <v>1.8</v>
      </c>
    </row>
    <row r="26" spans="1:2" x14ac:dyDescent="0.2">
      <c r="A26" t="s">
        <v>117</v>
      </c>
      <c r="B26" s="5">
        <v>10</v>
      </c>
    </row>
    <row r="27" spans="1:2" x14ac:dyDescent="0.2">
      <c r="A27" t="s">
        <v>118</v>
      </c>
      <c r="B27" s="5">
        <v>1.8</v>
      </c>
    </row>
    <row r="28" spans="1:2" x14ac:dyDescent="0.2">
      <c r="A28" t="s">
        <v>119</v>
      </c>
      <c r="B28" s="5">
        <v>0.01</v>
      </c>
    </row>
    <row r="29" spans="1:2" x14ac:dyDescent="0.2">
      <c r="A29" t="s">
        <v>120</v>
      </c>
      <c r="B29" s="5">
        <v>1.8</v>
      </c>
    </row>
    <row r="30" spans="1:2" x14ac:dyDescent="0.2">
      <c r="A30" t="s">
        <v>121</v>
      </c>
      <c r="B30" s="5">
        <v>27</v>
      </c>
    </row>
    <row r="31" spans="1:2" x14ac:dyDescent="0.2">
      <c r="A31" t="s">
        <v>122</v>
      </c>
      <c r="B31" s="5">
        <v>1.8</v>
      </c>
    </row>
    <row r="32" spans="1:2" x14ac:dyDescent="0.2">
      <c r="A32" t="s">
        <v>123</v>
      </c>
      <c r="B32" s="5">
        <v>10</v>
      </c>
    </row>
    <row r="33" spans="1:2" x14ac:dyDescent="0.2">
      <c r="A33" t="s">
        <v>124</v>
      </c>
      <c r="B33" s="5">
        <v>1.8</v>
      </c>
    </row>
    <row r="34" spans="1:2" x14ac:dyDescent="0.2">
      <c r="A34" t="s">
        <v>125</v>
      </c>
      <c r="B34" s="5">
        <v>10</v>
      </c>
    </row>
    <row r="35" spans="1:2" x14ac:dyDescent="0.2">
      <c r="A35" t="s">
        <v>126</v>
      </c>
      <c r="B35" s="5">
        <v>1.8</v>
      </c>
    </row>
    <row r="36" spans="1:2" x14ac:dyDescent="0.2">
      <c r="A36" t="s">
        <v>127</v>
      </c>
      <c r="B36" s="5">
        <v>0.01</v>
      </c>
    </row>
    <row r="37" spans="1:2" x14ac:dyDescent="0.2">
      <c r="A37" t="s">
        <v>128</v>
      </c>
      <c r="B37" s="5">
        <v>1.8</v>
      </c>
    </row>
    <row r="38" spans="1:2" x14ac:dyDescent="0.2">
      <c r="A38" t="s">
        <v>129</v>
      </c>
      <c r="B38" s="5">
        <v>27</v>
      </c>
    </row>
    <row r="39" spans="1:2" x14ac:dyDescent="0.2">
      <c r="A39" t="s">
        <v>130</v>
      </c>
      <c r="B39" s="5">
        <v>1.8</v>
      </c>
    </row>
    <row r="40" spans="1:2" x14ac:dyDescent="0.2">
      <c r="A40" t="s">
        <v>131</v>
      </c>
      <c r="B40" s="5">
        <v>10</v>
      </c>
    </row>
    <row r="41" spans="1:2" x14ac:dyDescent="0.2">
      <c r="A41" t="s">
        <v>132</v>
      </c>
      <c r="B41" s="5">
        <v>1.8</v>
      </c>
    </row>
    <row r="42" spans="1:2" x14ac:dyDescent="0.2">
      <c r="A42" t="s">
        <v>133</v>
      </c>
      <c r="B42" s="5">
        <v>10</v>
      </c>
    </row>
    <row r="43" spans="1:2" x14ac:dyDescent="0.2">
      <c r="A43" t="s">
        <v>134</v>
      </c>
      <c r="B43" s="5">
        <v>1.8</v>
      </c>
    </row>
    <row r="44" spans="1:2" x14ac:dyDescent="0.2">
      <c r="A44" t="s">
        <v>135</v>
      </c>
      <c r="B44" s="6">
        <v>0.01</v>
      </c>
    </row>
    <row r="45" spans="1:2" x14ac:dyDescent="0.2">
      <c r="A45" t="s">
        <v>136</v>
      </c>
      <c r="B45" s="5">
        <v>1.8</v>
      </c>
    </row>
    <row r="46" spans="1:2" x14ac:dyDescent="0.2">
      <c r="A46" t="s">
        <v>137</v>
      </c>
      <c r="B46" s="5">
        <v>27</v>
      </c>
    </row>
    <row r="47" spans="1:2" x14ac:dyDescent="0.2">
      <c r="A47" t="s">
        <v>138</v>
      </c>
      <c r="B47" s="5">
        <v>1.8</v>
      </c>
    </row>
    <row r="48" spans="1:2" x14ac:dyDescent="0.2">
      <c r="A48" t="s">
        <v>139</v>
      </c>
      <c r="B48" s="5">
        <v>10</v>
      </c>
    </row>
    <row r="49" spans="1:2" x14ac:dyDescent="0.2">
      <c r="A49" t="s">
        <v>140</v>
      </c>
      <c r="B49" s="5">
        <v>1.8</v>
      </c>
    </row>
    <row r="50" spans="1:2" x14ac:dyDescent="0.2">
      <c r="A50" t="s">
        <v>141</v>
      </c>
      <c r="B50" s="5">
        <v>10</v>
      </c>
    </row>
    <row r="51" spans="1:2" x14ac:dyDescent="0.2">
      <c r="A51" t="s">
        <v>142</v>
      </c>
      <c r="B51" s="5">
        <v>1.8</v>
      </c>
    </row>
    <row r="52" spans="1:2" x14ac:dyDescent="0.2">
      <c r="A52" t="s">
        <v>143</v>
      </c>
      <c r="B52" s="5">
        <v>0.01</v>
      </c>
    </row>
    <row r="53" spans="1:2" x14ac:dyDescent="0.2">
      <c r="A53" t="s">
        <v>144</v>
      </c>
      <c r="B53" s="5">
        <v>1.8</v>
      </c>
    </row>
    <row r="54" spans="1:2" x14ac:dyDescent="0.2">
      <c r="A54" t="s">
        <v>145</v>
      </c>
      <c r="B54" s="5">
        <v>27</v>
      </c>
    </row>
    <row r="55" spans="1:2" x14ac:dyDescent="0.2">
      <c r="A55" t="s">
        <v>146</v>
      </c>
      <c r="B55" s="5">
        <v>1.8</v>
      </c>
    </row>
    <row r="56" spans="1:2" x14ac:dyDescent="0.2">
      <c r="A56" t="s">
        <v>147</v>
      </c>
      <c r="B56" s="5">
        <v>10</v>
      </c>
    </row>
    <row r="57" spans="1:2" x14ac:dyDescent="0.2">
      <c r="A57" t="s">
        <v>148</v>
      </c>
      <c r="B57" s="5">
        <v>1.8</v>
      </c>
    </row>
    <row r="58" spans="1:2" x14ac:dyDescent="0.2">
      <c r="A58" t="s">
        <v>141</v>
      </c>
      <c r="B58" s="5">
        <v>10</v>
      </c>
    </row>
    <row r="59" spans="1:2" x14ac:dyDescent="0.2">
      <c r="A59" t="s">
        <v>142</v>
      </c>
      <c r="B59" s="5">
        <v>1.8</v>
      </c>
    </row>
    <row r="60" spans="1:2" x14ac:dyDescent="0.2">
      <c r="A60" t="s">
        <v>143</v>
      </c>
      <c r="B60" s="6">
        <v>1.2999999999999999E-2</v>
      </c>
    </row>
    <row r="61" spans="1:2" x14ac:dyDescent="0.2">
      <c r="A61" t="s">
        <v>144</v>
      </c>
      <c r="B61" s="5">
        <v>1.8</v>
      </c>
    </row>
    <row r="62" spans="1:2" x14ac:dyDescent="0.2">
      <c r="A62" t="s">
        <v>145</v>
      </c>
      <c r="B62" s="5">
        <v>0</v>
      </c>
    </row>
    <row r="63" spans="1:2" x14ac:dyDescent="0.2">
      <c r="A63" t="s">
        <v>146</v>
      </c>
      <c r="B63" s="5">
        <v>0</v>
      </c>
    </row>
    <row r="64" spans="1:2" x14ac:dyDescent="0.2">
      <c r="A64" t="s">
        <v>147</v>
      </c>
      <c r="B64" s="5">
        <v>0</v>
      </c>
    </row>
    <row r="65" spans="1:2" x14ac:dyDescent="0.2">
      <c r="A65" t="s">
        <v>148</v>
      </c>
      <c r="B65" s="5">
        <v>0</v>
      </c>
    </row>
    <row r="66" spans="1:2" x14ac:dyDescent="0.2">
      <c r="A66" t="s">
        <v>149</v>
      </c>
      <c r="B66" s="5">
        <v>10</v>
      </c>
    </row>
    <row r="67" spans="1:2" x14ac:dyDescent="0.2">
      <c r="A67" t="s">
        <v>150</v>
      </c>
      <c r="B67" s="5">
        <v>1.8</v>
      </c>
    </row>
    <row r="68" spans="1:2" x14ac:dyDescent="0.2">
      <c r="A68" t="s">
        <v>151</v>
      </c>
      <c r="B68" s="6">
        <v>8.5000000000000006E-3</v>
      </c>
    </row>
    <row r="69" spans="1:2" x14ac:dyDescent="0.2">
      <c r="A69" t="s">
        <v>152</v>
      </c>
      <c r="B69" s="5">
        <v>1.8</v>
      </c>
    </row>
    <row r="70" spans="1:2" x14ac:dyDescent="0.2">
      <c r="A70" t="s">
        <v>153</v>
      </c>
      <c r="B70" s="5">
        <v>0</v>
      </c>
    </row>
    <row r="71" spans="1:2" x14ac:dyDescent="0.2">
      <c r="A71" t="s">
        <v>154</v>
      </c>
      <c r="B71" s="5">
        <v>0</v>
      </c>
    </row>
    <row r="72" spans="1:2" x14ac:dyDescent="0.2">
      <c r="A72" t="s">
        <v>155</v>
      </c>
      <c r="B72" s="5">
        <v>0</v>
      </c>
    </row>
    <row r="73" spans="1:2" x14ac:dyDescent="0.2">
      <c r="A73" t="s">
        <v>156</v>
      </c>
      <c r="B73" s="5">
        <v>0</v>
      </c>
    </row>
    <row r="74" spans="1:2" x14ac:dyDescent="0.2">
      <c r="A74" t="s">
        <v>157</v>
      </c>
      <c r="B74" s="5">
        <v>10</v>
      </c>
    </row>
    <row r="75" spans="1:2" x14ac:dyDescent="0.2">
      <c r="A75" t="s">
        <v>158</v>
      </c>
      <c r="B75" s="5">
        <v>1.8</v>
      </c>
    </row>
    <row r="76" spans="1:2" x14ac:dyDescent="0.2">
      <c r="A76" t="s">
        <v>159</v>
      </c>
      <c r="B76" s="6">
        <v>1.2999999999999999E-2</v>
      </c>
    </row>
    <row r="77" spans="1:2" x14ac:dyDescent="0.2">
      <c r="A77" t="s">
        <v>160</v>
      </c>
      <c r="B77" s="5">
        <v>1.8</v>
      </c>
    </row>
    <row r="78" spans="1:2" x14ac:dyDescent="0.2">
      <c r="A78" t="s">
        <v>161</v>
      </c>
      <c r="B78" s="5">
        <v>0</v>
      </c>
    </row>
    <row r="79" spans="1:2" x14ac:dyDescent="0.2">
      <c r="A79" t="s">
        <v>162</v>
      </c>
      <c r="B79" s="5">
        <v>0</v>
      </c>
    </row>
    <row r="80" spans="1:2" x14ac:dyDescent="0.2">
      <c r="A80" t="s">
        <v>163</v>
      </c>
      <c r="B80" s="5">
        <v>0</v>
      </c>
    </row>
    <row r="81" spans="1:2" x14ac:dyDescent="0.2">
      <c r="A81" t="s">
        <v>164</v>
      </c>
      <c r="B81" s="5">
        <v>0</v>
      </c>
    </row>
    <row r="82" spans="1:2" x14ac:dyDescent="0.2">
      <c r="A82" t="s">
        <v>167</v>
      </c>
      <c r="B82" s="5" t="s">
        <v>168</v>
      </c>
    </row>
    <row r="83" spans="1:2" x14ac:dyDescent="0.2">
      <c r="A83" t="s">
        <v>169</v>
      </c>
      <c r="B83" s="5" t="s">
        <v>170</v>
      </c>
    </row>
    <row r="84" spans="1:2" x14ac:dyDescent="0.2">
      <c r="A84" t="s">
        <v>171</v>
      </c>
      <c r="B84" s="5" t="s">
        <v>172</v>
      </c>
    </row>
    <row r="85" spans="1:2" x14ac:dyDescent="0.2">
      <c r="A85" t="s">
        <v>173</v>
      </c>
      <c r="B85" s="5" t="s">
        <v>174</v>
      </c>
    </row>
    <row r="86" spans="1:2" x14ac:dyDescent="0.2">
      <c r="A86" t="s">
        <v>175</v>
      </c>
      <c r="B86" s="5" t="s">
        <v>176</v>
      </c>
    </row>
    <row r="87" spans="1:2" x14ac:dyDescent="0.2">
      <c r="A87" t="s">
        <v>177</v>
      </c>
      <c r="B87" s="5" t="s">
        <v>178</v>
      </c>
    </row>
    <row r="88" spans="1:2" x14ac:dyDescent="0.2">
      <c r="A88" t="s">
        <v>179</v>
      </c>
      <c r="B88" s="5" t="s">
        <v>180</v>
      </c>
    </row>
    <row r="89" spans="1:2" x14ac:dyDescent="0.2">
      <c r="A89" t="s">
        <v>181</v>
      </c>
      <c r="B89" s="5" t="s">
        <v>182</v>
      </c>
    </row>
    <row r="90" spans="1:2" x14ac:dyDescent="0.2">
      <c r="A90" t="s">
        <v>183</v>
      </c>
      <c r="B90" s="5" t="s">
        <v>184</v>
      </c>
    </row>
    <row r="91" spans="1:2" x14ac:dyDescent="0.2">
      <c r="A91" t="s">
        <v>185</v>
      </c>
      <c r="B91" s="5" t="s">
        <v>186</v>
      </c>
    </row>
    <row r="92" spans="1:2" x14ac:dyDescent="0.2">
      <c r="A92" t="s">
        <v>187</v>
      </c>
      <c r="B92" s="5" t="s">
        <v>188</v>
      </c>
    </row>
    <row r="93" spans="1:2" x14ac:dyDescent="0.2">
      <c r="A93" t="s">
        <v>189</v>
      </c>
      <c r="B93" s="5" t="s">
        <v>190</v>
      </c>
    </row>
    <row r="94" spans="1:2" x14ac:dyDescent="0.2">
      <c r="A94" t="s">
        <v>191</v>
      </c>
      <c r="B94" s="5" t="s">
        <v>192</v>
      </c>
    </row>
    <row r="95" spans="1:2" x14ac:dyDescent="0.2">
      <c r="A95" t="s">
        <v>193</v>
      </c>
      <c r="B95" s="5" t="s">
        <v>194</v>
      </c>
    </row>
    <row r="96" spans="1:2" x14ac:dyDescent="0.2">
      <c r="A96" t="s">
        <v>195</v>
      </c>
      <c r="B96" s="5" t="s">
        <v>196</v>
      </c>
    </row>
    <row r="97" spans="1:3" x14ac:dyDescent="0.2">
      <c r="A97" t="s">
        <v>197</v>
      </c>
      <c r="B97" s="5" t="s">
        <v>198</v>
      </c>
    </row>
    <row r="98" spans="1:3" x14ac:dyDescent="0.2">
      <c r="A98" t="s">
        <v>199</v>
      </c>
      <c r="B98" s="5" t="s">
        <v>200</v>
      </c>
    </row>
    <row r="99" spans="1:3" x14ac:dyDescent="0.2">
      <c r="A99" t="s">
        <v>201</v>
      </c>
      <c r="B99" s="5" t="s">
        <v>202</v>
      </c>
    </row>
    <row r="100" spans="1:3" x14ac:dyDescent="0.2">
      <c r="A100" t="s">
        <v>203</v>
      </c>
      <c r="B100" s="5" t="s">
        <v>204</v>
      </c>
    </row>
    <row r="101" spans="1:3" x14ac:dyDescent="0.2">
      <c r="A101" t="s">
        <v>205</v>
      </c>
      <c r="B101" s="5">
        <v>1.25</v>
      </c>
    </row>
    <row r="102" spans="1:3" x14ac:dyDescent="0.2">
      <c r="A102" t="s">
        <v>207</v>
      </c>
      <c r="B102" s="5" t="s">
        <v>204</v>
      </c>
    </row>
    <row r="103" spans="1:3" x14ac:dyDescent="0.2">
      <c r="A103" t="s">
        <v>208</v>
      </c>
      <c r="B103" s="7">
        <v>0.47</v>
      </c>
      <c r="C103" t="s">
        <v>469</v>
      </c>
    </row>
    <row r="104" spans="1:3" x14ac:dyDescent="0.2">
      <c r="A104" t="s">
        <v>210</v>
      </c>
      <c r="B104" s="5" t="s">
        <v>211</v>
      </c>
    </row>
    <row r="105" spans="1:3" x14ac:dyDescent="0.2">
      <c r="A105" t="s">
        <v>212</v>
      </c>
      <c r="B105" s="5" t="s">
        <v>213</v>
      </c>
    </row>
    <row r="106" spans="1:3" x14ac:dyDescent="0.2">
      <c r="A106" t="s">
        <v>214</v>
      </c>
      <c r="B106" s="5" t="s">
        <v>215</v>
      </c>
    </row>
    <row r="107" spans="1:3" x14ac:dyDescent="0.2">
      <c r="A107" t="s">
        <v>216</v>
      </c>
      <c r="B107" s="5" t="s">
        <v>217</v>
      </c>
    </row>
    <row r="108" spans="1:3" x14ac:dyDescent="0.2">
      <c r="A108" t="s">
        <v>218</v>
      </c>
      <c r="B108" s="5">
        <v>5</v>
      </c>
    </row>
    <row r="109" spans="1:3" x14ac:dyDescent="0.2">
      <c r="A109" t="s">
        <v>219</v>
      </c>
      <c r="B109" s="5" t="s">
        <v>217</v>
      </c>
    </row>
    <row r="110" spans="1:3" x14ac:dyDescent="0.2">
      <c r="A110" t="s">
        <v>220</v>
      </c>
      <c r="B110" s="5">
        <v>1</v>
      </c>
      <c r="C110" t="s">
        <v>468</v>
      </c>
    </row>
    <row r="111" spans="1:3" x14ac:dyDescent="0.2">
      <c r="A111" t="s">
        <v>222</v>
      </c>
      <c r="B111" s="5">
        <v>10</v>
      </c>
    </row>
    <row r="112" spans="1:3" x14ac:dyDescent="0.2">
      <c r="A112" t="s">
        <v>223</v>
      </c>
      <c r="B112" s="5" t="s">
        <v>206</v>
      </c>
    </row>
    <row r="113" spans="1:3" x14ac:dyDescent="0.2">
      <c r="A113" t="s">
        <v>224</v>
      </c>
      <c r="B113" s="5" t="s">
        <v>225</v>
      </c>
    </row>
    <row r="114" spans="1:3" x14ac:dyDescent="0.2">
      <c r="A114" t="s">
        <v>226</v>
      </c>
      <c r="B114" s="5" t="s">
        <v>206</v>
      </c>
    </row>
    <row r="115" spans="1:3" x14ac:dyDescent="0.2">
      <c r="A115" t="s">
        <v>470</v>
      </c>
      <c r="B115" s="5" t="s">
        <v>213</v>
      </c>
    </row>
    <row r="116" spans="1:3" x14ac:dyDescent="0.2">
      <c r="A116" t="s">
        <v>228</v>
      </c>
      <c r="B116" s="7">
        <v>10</v>
      </c>
      <c r="C116" t="s">
        <v>479</v>
      </c>
    </row>
    <row r="117" spans="1:3" x14ac:dyDescent="0.2">
      <c r="A117" t="s">
        <v>229</v>
      </c>
      <c r="B117" s="7">
        <v>0.47</v>
      </c>
    </row>
    <row r="118" spans="1:3" x14ac:dyDescent="0.2">
      <c r="A118" t="s">
        <v>230</v>
      </c>
      <c r="B118" s="5" t="s">
        <v>211</v>
      </c>
    </row>
    <row r="119" spans="1:3" x14ac:dyDescent="0.2">
      <c r="A119" t="s">
        <v>231</v>
      </c>
      <c r="B119" s="5" t="s">
        <v>213</v>
      </c>
    </row>
    <row r="120" spans="1:3" x14ac:dyDescent="0.2">
      <c r="A120" t="s">
        <v>232</v>
      </c>
      <c r="B120" s="7">
        <v>5</v>
      </c>
      <c r="C120" t="s">
        <v>480</v>
      </c>
    </row>
    <row r="121" spans="1:3" x14ac:dyDescent="0.2">
      <c r="A121" t="s">
        <v>233</v>
      </c>
      <c r="B121" s="5" t="s">
        <v>217</v>
      </c>
    </row>
    <row r="122" spans="1:3" x14ac:dyDescent="0.2">
      <c r="A122" t="s">
        <v>234</v>
      </c>
      <c r="B122" s="7">
        <v>5</v>
      </c>
      <c r="C122" t="s">
        <v>480</v>
      </c>
    </row>
    <row r="123" spans="1:3" x14ac:dyDescent="0.2">
      <c r="A123" t="s">
        <v>235</v>
      </c>
      <c r="B123" s="5" t="s">
        <v>217</v>
      </c>
    </row>
    <row r="124" spans="1:3" x14ac:dyDescent="0.2">
      <c r="A124" t="s">
        <v>236</v>
      </c>
      <c r="B124" s="5">
        <v>1</v>
      </c>
    </row>
    <row r="125" spans="1:3" x14ac:dyDescent="0.2">
      <c r="A125" t="s">
        <v>237</v>
      </c>
      <c r="B125" s="5">
        <v>10</v>
      </c>
    </row>
    <row r="126" spans="1:3" x14ac:dyDescent="0.2">
      <c r="A126" t="s">
        <v>238</v>
      </c>
      <c r="B126" s="5" t="s">
        <v>206</v>
      </c>
    </row>
    <row r="127" spans="1:3" x14ac:dyDescent="0.2">
      <c r="A127" t="s">
        <v>239</v>
      </c>
      <c r="B127" s="5" t="s">
        <v>225</v>
      </c>
    </row>
    <row r="128" spans="1:3" x14ac:dyDescent="0.2">
      <c r="A128" t="s">
        <v>240</v>
      </c>
      <c r="B128" s="5" t="s">
        <v>206</v>
      </c>
    </row>
    <row r="129" spans="1:2" x14ac:dyDescent="0.2">
      <c r="A129" t="s">
        <v>471</v>
      </c>
      <c r="B129" s="5" t="s">
        <v>213</v>
      </c>
    </row>
    <row r="130" spans="1:2" x14ac:dyDescent="0.2">
      <c r="A130" t="s">
        <v>242</v>
      </c>
      <c r="B130" s="5" t="s">
        <v>204</v>
      </c>
    </row>
    <row r="131" spans="1:2" x14ac:dyDescent="0.2">
      <c r="A131" t="s">
        <v>243</v>
      </c>
      <c r="B131" s="7">
        <v>0.47</v>
      </c>
    </row>
    <row r="132" spans="1:2" x14ac:dyDescent="0.2">
      <c r="A132" t="s">
        <v>244</v>
      </c>
      <c r="B132" s="5" t="s">
        <v>211</v>
      </c>
    </row>
    <row r="133" spans="1:2" x14ac:dyDescent="0.2">
      <c r="A133" t="s">
        <v>245</v>
      </c>
      <c r="B133" s="5" t="s">
        <v>213</v>
      </c>
    </row>
    <row r="134" spans="1:2" x14ac:dyDescent="0.2">
      <c r="A134" t="s">
        <v>246</v>
      </c>
      <c r="B134" s="5" t="s">
        <v>215</v>
      </c>
    </row>
    <row r="135" spans="1:2" x14ac:dyDescent="0.2">
      <c r="A135" t="s">
        <v>247</v>
      </c>
      <c r="B135" s="5" t="s">
        <v>217</v>
      </c>
    </row>
    <row r="136" spans="1:2" x14ac:dyDescent="0.2">
      <c r="A136" t="s">
        <v>248</v>
      </c>
      <c r="B136" s="5">
        <v>5</v>
      </c>
    </row>
    <row r="137" spans="1:2" x14ac:dyDescent="0.2">
      <c r="A137" t="s">
        <v>249</v>
      </c>
      <c r="B137" s="5" t="s">
        <v>217</v>
      </c>
    </row>
    <row r="138" spans="1:2" x14ac:dyDescent="0.2">
      <c r="A138" t="s">
        <v>250</v>
      </c>
      <c r="B138" s="5">
        <v>1</v>
      </c>
    </row>
    <row r="139" spans="1:2" x14ac:dyDescent="0.2">
      <c r="A139" t="s">
        <v>251</v>
      </c>
      <c r="B139" s="5">
        <v>10</v>
      </c>
    </row>
    <row r="140" spans="1:2" x14ac:dyDescent="0.2">
      <c r="A140" t="s">
        <v>252</v>
      </c>
      <c r="B140" s="5" t="s">
        <v>206</v>
      </c>
    </row>
    <row r="141" spans="1:2" x14ac:dyDescent="0.2">
      <c r="A141" t="s">
        <v>253</v>
      </c>
      <c r="B141" s="5" t="s">
        <v>225</v>
      </c>
    </row>
    <row r="142" spans="1:2" x14ac:dyDescent="0.2">
      <c r="A142" t="s">
        <v>254</v>
      </c>
      <c r="B142" s="5" t="s">
        <v>206</v>
      </c>
    </row>
    <row r="143" spans="1:2" x14ac:dyDescent="0.2">
      <c r="A143" t="s">
        <v>472</v>
      </c>
      <c r="B143" s="5" t="s">
        <v>213</v>
      </c>
    </row>
    <row r="144" spans="1:2" x14ac:dyDescent="0.2">
      <c r="A144" t="s">
        <v>256</v>
      </c>
      <c r="B144" s="5" t="s">
        <v>204</v>
      </c>
    </row>
    <row r="145" spans="1:2" x14ac:dyDescent="0.2">
      <c r="A145" t="s">
        <v>257</v>
      </c>
      <c r="B145" s="7">
        <v>0.47</v>
      </c>
    </row>
    <row r="146" spans="1:2" x14ac:dyDescent="0.2">
      <c r="A146" t="s">
        <v>258</v>
      </c>
      <c r="B146" s="5" t="s">
        <v>211</v>
      </c>
    </row>
    <row r="147" spans="1:2" x14ac:dyDescent="0.2">
      <c r="A147" t="s">
        <v>259</v>
      </c>
      <c r="B147" s="5" t="s">
        <v>213</v>
      </c>
    </row>
    <row r="148" spans="1:2" x14ac:dyDescent="0.2">
      <c r="A148" t="s">
        <v>260</v>
      </c>
      <c r="B148" s="5" t="s">
        <v>215</v>
      </c>
    </row>
    <row r="149" spans="1:2" x14ac:dyDescent="0.2">
      <c r="A149" t="s">
        <v>261</v>
      </c>
      <c r="B149" s="5" t="s">
        <v>217</v>
      </c>
    </row>
    <row r="150" spans="1:2" x14ac:dyDescent="0.2">
      <c r="A150" t="s">
        <v>262</v>
      </c>
      <c r="B150" s="5">
        <v>5</v>
      </c>
    </row>
    <row r="151" spans="1:2" x14ac:dyDescent="0.2">
      <c r="A151" t="s">
        <v>263</v>
      </c>
      <c r="B151" s="5" t="s">
        <v>217</v>
      </c>
    </row>
    <row r="152" spans="1:2" x14ac:dyDescent="0.2">
      <c r="A152" t="s">
        <v>264</v>
      </c>
      <c r="B152" s="5">
        <v>1</v>
      </c>
    </row>
    <row r="153" spans="1:2" x14ac:dyDescent="0.2">
      <c r="A153" t="s">
        <v>265</v>
      </c>
      <c r="B153" s="5">
        <v>10</v>
      </c>
    </row>
    <row r="154" spans="1:2" x14ac:dyDescent="0.2">
      <c r="A154" t="s">
        <v>266</v>
      </c>
      <c r="B154" s="5" t="s">
        <v>206</v>
      </c>
    </row>
    <row r="155" spans="1:2" x14ac:dyDescent="0.2">
      <c r="A155" t="s">
        <v>267</v>
      </c>
      <c r="B155" s="5" t="s">
        <v>225</v>
      </c>
    </row>
    <row r="156" spans="1:2" x14ac:dyDescent="0.2">
      <c r="A156" t="s">
        <v>268</v>
      </c>
      <c r="B156" s="5" t="s">
        <v>206</v>
      </c>
    </row>
    <row r="157" spans="1:2" x14ac:dyDescent="0.2">
      <c r="A157" t="s">
        <v>473</v>
      </c>
      <c r="B157" s="5" t="s">
        <v>213</v>
      </c>
    </row>
    <row r="158" spans="1:2" x14ac:dyDescent="0.2">
      <c r="A158" t="s">
        <v>270</v>
      </c>
      <c r="B158" s="5" t="s">
        <v>204</v>
      </c>
    </row>
    <row r="159" spans="1:2" x14ac:dyDescent="0.2">
      <c r="A159" t="s">
        <v>271</v>
      </c>
      <c r="B159" s="7">
        <v>0.47</v>
      </c>
    </row>
    <row r="160" spans="1:2" x14ac:dyDescent="0.2">
      <c r="A160" t="s">
        <v>272</v>
      </c>
      <c r="B160" s="5" t="s">
        <v>211</v>
      </c>
    </row>
    <row r="161" spans="1:2" x14ac:dyDescent="0.2">
      <c r="A161" t="s">
        <v>273</v>
      </c>
      <c r="B161" s="5" t="s">
        <v>213</v>
      </c>
    </row>
    <row r="162" spans="1:2" x14ac:dyDescent="0.2">
      <c r="A162" t="s">
        <v>274</v>
      </c>
      <c r="B162" s="5" t="s">
        <v>215</v>
      </c>
    </row>
    <row r="163" spans="1:2" x14ac:dyDescent="0.2">
      <c r="A163" t="s">
        <v>275</v>
      </c>
      <c r="B163" s="5" t="s">
        <v>217</v>
      </c>
    </row>
    <row r="164" spans="1:2" x14ac:dyDescent="0.2">
      <c r="A164" t="s">
        <v>276</v>
      </c>
      <c r="B164" s="5">
        <v>5</v>
      </c>
    </row>
    <row r="165" spans="1:2" x14ac:dyDescent="0.2">
      <c r="A165" t="s">
        <v>277</v>
      </c>
      <c r="B165" s="5" t="s">
        <v>217</v>
      </c>
    </row>
    <row r="166" spans="1:2" x14ac:dyDescent="0.2">
      <c r="A166" t="s">
        <v>278</v>
      </c>
      <c r="B166" s="5">
        <v>1</v>
      </c>
    </row>
    <row r="167" spans="1:2" x14ac:dyDescent="0.2">
      <c r="A167" t="s">
        <v>279</v>
      </c>
      <c r="B167" s="5">
        <v>10</v>
      </c>
    </row>
    <row r="168" spans="1:2" x14ac:dyDescent="0.2">
      <c r="A168" t="s">
        <v>280</v>
      </c>
      <c r="B168" s="5" t="s">
        <v>206</v>
      </c>
    </row>
    <row r="169" spans="1:2" x14ac:dyDescent="0.2">
      <c r="A169" t="s">
        <v>281</v>
      </c>
      <c r="B169" s="5" t="s">
        <v>225</v>
      </c>
    </row>
    <row r="170" spans="1:2" x14ac:dyDescent="0.2">
      <c r="A170" t="s">
        <v>282</v>
      </c>
      <c r="B170" s="5" t="s">
        <v>206</v>
      </c>
    </row>
    <row r="171" spans="1:2" x14ac:dyDescent="0.2">
      <c r="A171" t="s">
        <v>474</v>
      </c>
      <c r="B171" s="5" t="s">
        <v>213</v>
      </c>
    </row>
    <row r="172" spans="1:2" x14ac:dyDescent="0.2">
      <c r="A172" t="s">
        <v>284</v>
      </c>
      <c r="B172" s="5" t="s">
        <v>204</v>
      </c>
    </row>
    <row r="173" spans="1:2" x14ac:dyDescent="0.2">
      <c r="A173" t="s">
        <v>285</v>
      </c>
      <c r="B173" s="7">
        <v>0.47</v>
      </c>
    </row>
    <row r="174" spans="1:2" x14ac:dyDescent="0.2">
      <c r="A174" t="s">
        <v>286</v>
      </c>
      <c r="B174" s="5" t="s">
        <v>211</v>
      </c>
    </row>
    <row r="175" spans="1:2" x14ac:dyDescent="0.2">
      <c r="A175" t="s">
        <v>287</v>
      </c>
      <c r="B175" s="5" t="s">
        <v>213</v>
      </c>
    </row>
    <row r="176" spans="1:2" x14ac:dyDescent="0.2">
      <c r="A176" t="s">
        <v>288</v>
      </c>
      <c r="B176" s="5" t="s">
        <v>215</v>
      </c>
    </row>
    <row r="177" spans="1:2" x14ac:dyDescent="0.2">
      <c r="A177" t="s">
        <v>289</v>
      </c>
      <c r="B177" s="5" t="s">
        <v>217</v>
      </c>
    </row>
    <row r="178" spans="1:2" x14ac:dyDescent="0.2">
      <c r="A178" t="s">
        <v>290</v>
      </c>
      <c r="B178" s="5">
        <v>5</v>
      </c>
    </row>
    <row r="179" spans="1:2" x14ac:dyDescent="0.2">
      <c r="A179" t="s">
        <v>291</v>
      </c>
      <c r="B179" s="5" t="s">
        <v>217</v>
      </c>
    </row>
    <row r="180" spans="1:2" x14ac:dyDescent="0.2">
      <c r="A180" t="s">
        <v>292</v>
      </c>
      <c r="B180" s="5">
        <v>1</v>
      </c>
    </row>
    <row r="181" spans="1:2" x14ac:dyDescent="0.2">
      <c r="A181" t="s">
        <v>293</v>
      </c>
      <c r="B181" s="5">
        <v>10</v>
      </c>
    </row>
    <row r="182" spans="1:2" x14ac:dyDescent="0.2">
      <c r="A182" t="s">
        <v>294</v>
      </c>
      <c r="B182" s="5" t="s">
        <v>206</v>
      </c>
    </row>
    <row r="183" spans="1:2" x14ac:dyDescent="0.2">
      <c r="A183" t="s">
        <v>295</v>
      </c>
      <c r="B183" s="5" t="s">
        <v>225</v>
      </c>
    </row>
    <row r="184" spans="1:2" x14ac:dyDescent="0.2">
      <c r="A184" t="s">
        <v>296</v>
      </c>
      <c r="B184" s="5" t="s">
        <v>206</v>
      </c>
    </row>
    <row r="185" spans="1:2" x14ac:dyDescent="0.2">
      <c r="A185" t="s">
        <v>475</v>
      </c>
      <c r="B185" s="5" t="s">
        <v>213</v>
      </c>
    </row>
    <row r="186" spans="1:2" x14ac:dyDescent="0.2">
      <c r="A186" t="s">
        <v>298</v>
      </c>
      <c r="B186" s="5" t="s">
        <v>204</v>
      </c>
    </row>
    <row r="187" spans="1:2" x14ac:dyDescent="0.2">
      <c r="A187" t="s">
        <v>299</v>
      </c>
      <c r="B187" s="7">
        <v>0.47</v>
      </c>
    </row>
    <row r="188" spans="1:2" x14ac:dyDescent="0.2">
      <c r="A188" t="s">
        <v>300</v>
      </c>
      <c r="B188" s="5" t="s">
        <v>301</v>
      </c>
    </row>
    <row r="189" spans="1:2" x14ac:dyDescent="0.2">
      <c r="A189" t="s">
        <v>302</v>
      </c>
      <c r="B189" s="5" t="s">
        <v>301</v>
      </c>
    </row>
    <row r="190" spans="1:2" x14ac:dyDescent="0.2">
      <c r="A190" t="s">
        <v>303</v>
      </c>
      <c r="B190" s="5" t="s">
        <v>215</v>
      </c>
    </row>
    <row r="191" spans="1:2" x14ac:dyDescent="0.2">
      <c r="A191" t="s">
        <v>304</v>
      </c>
      <c r="B191" s="5" t="s">
        <v>217</v>
      </c>
    </row>
    <row r="192" spans="1:2" x14ac:dyDescent="0.2">
      <c r="A192" t="s">
        <v>305</v>
      </c>
      <c r="B192" s="5" t="s">
        <v>301</v>
      </c>
    </row>
    <row r="193" spans="1:2" x14ac:dyDescent="0.2">
      <c r="A193" t="s">
        <v>306</v>
      </c>
      <c r="B193" s="5" t="s">
        <v>301</v>
      </c>
    </row>
    <row r="194" spans="1:2" x14ac:dyDescent="0.2">
      <c r="A194" t="s">
        <v>307</v>
      </c>
      <c r="B194" s="5" t="s">
        <v>301</v>
      </c>
    </row>
    <row r="195" spans="1:2" x14ac:dyDescent="0.2">
      <c r="A195" t="s">
        <v>308</v>
      </c>
      <c r="B195" s="5" t="s">
        <v>301</v>
      </c>
    </row>
    <row r="196" spans="1:2" x14ac:dyDescent="0.2">
      <c r="A196" t="s">
        <v>309</v>
      </c>
      <c r="B196" s="5" t="s">
        <v>301</v>
      </c>
    </row>
    <row r="197" spans="1:2" x14ac:dyDescent="0.2">
      <c r="A197" t="s">
        <v>310</v>
      </c>
      <c r="B197" s="5" t="s">
        <v>301</v>
      </c>
    </row>
    <row r="198" spans="1:2" x14ac:dyDescent="0.2">
      <c r="A198" t="s">
        <v>311</v>
      </c>
      <c r="B198" s="5" t="s">
        <v>301</v>
      </c>
    </row>
    <row r="199" spans="1:2" x14ac:dyDescent="0.2">
      <c r="A199" t="s">
        <v>476</v>
      </c>
      <c r="B199" s="5" t="s">
        <v>301</v>
      </c>
    </row>
    <row r="200" spans="1:2" x14ac:dyDescent="0.2">
      <c r="A200" t="s">
        <v>313</v>
      </c>
      <c r="B200" s="5" t="s">
        <v>204</v>
      </c>
    </row>
    <row r="201" spans="1:2" x14ac:dyDescent="0.2">
      <c r="A201" t="s">
        <v>314</v>
      </c>
      <c r="B201" s="7">
        <v>0.47</v>
      </c>
    </row>
    <row r="202" spans="1:2" x14ac:dyDescent="0.2">
      <c r="A202" t="s">
        <v>315</v>
      </c>
      <c r="B202" s="5" t="s">
        <v>301</v>
      </c>
    </row>
    <row r="203" spans="1:2" x14ac:dyDescent="0.2">
      <c r="A203" t="s">
        <v>316</v>
      </c>
      <c r="B203" s="5" t="s">
        <v>301</v>
      </c>
    </row>
    <row r="204" spans="1:2" x14ac:dyDescent="0.2">
      <c r="A204" t="s">
        <v>317</v>
      </c>
      <c r="B204" s="5" t="s">
        <v>215</v>
      </c>
    </row>
    <row r="205" spans="1:2" x14ac:dyDescent="0.2">
      <c r="A205" t="s">
        <v>318</v>
      </c>
      <c r="B205" s="5" t="s">
        <v>217</v>
      </c>
    </row>
    <row r="206" spans="1:2" x14ac:dyDescent="0.2">
      <c r="A206" t="s">
        <v>319</v>
      </c>
      <c r="B206" s="5" t="s">
        <v>301</v>
      </c>
    </row>
    <row r="207" spans="1:2" x14ac:dyDescent="0.2">
      <c r="A207" t="s">
        <v>320</v>
      </c>
      <c r="B207" s="5" t="s">
        <v>301</v>
      </c>
    </row>
    <row r="208" spans="1:2" x14ac:dyDescent="0.2">
      <c r="A208" t="s">
        <v>321</v>
      </c>
      <c r="B208" s="5" t="s">
        <v>301</v>
      </c>
    </row>
    <row r="209" spans="1:2" x14ac:dyDescent="0.2">
      <c r="A209" t="s">
        <v>322</v>
      </c>
      <c r="B209" s="5" t="s">
        <v>301</v>
      </c>
    </row>
    <row r="210" spans="1:2" x14ac:dyDescent="0.2">
      <c r="A210" t="s">
        <v>323</v>
      </c>
      <c r="B210" s="5" t="s">
        <v>301</v>
      </c>
    </row>
    <row r="211" spans="1:2" x14ac:dyDescent="0.2">
      <c r="A211" t="s">
        <v>324</v>
      </c>
      <c r="B211" s="5" t="s">
        <v>301</v>
      </c>
    </row>
    <row r="212" spans="1:2" x14ac:dyDescent="0.2">
      <c r="A212" t="s">
        <v>325</v>
      </c>
      <c r="B212" s="5" t="s">
        <v>301</v>
      </c>
    </row>
    <row r="213" spans="1:2" x14ac:dyDescent="0.2">
      <c r="A213" t="s">
        <v>477</v>
      </c>
      <c r="B213" s="5" t="s">
        <v>301</v>
      </c>
    </row>
    <row r="214" spans="1:2" x14ac:dyDescent="0.2">
      <c r="A214" t="s">
        <v>327</v>
      </c>
      <c r="B214" s="5" t="s">
        <v>204</v>
      </c>
    </row>
    <row r="215" spans="1:2" x14ac:dyDescent="0.2">
      <c r="A215" t="s">
        <v>328</v>
      </c>
      <c r="B215" s="7">
        <v>0.47</v>
      </c>
    </row>
    <row r="216" spans="1:2" x14ac:dyDescent="0.2">
      <c r="A216" t="s">
        <v>329</v>
      </c>
      <c r="B216" s="5" t="s">
        <v>301</v>
      </c>
    </row>
    <row r="217" spans="1:2" x14ac:dyDescent="0.2">
      <c r="A217" t="s">
        <v>330</v>
      </c>
      <c r="B217" s="5" t="s">
        <v>301</v>
      </c>
    </row>
    <row r="218" spans="1:2" x14ac:dyDescent="0.2">
      <c r="A218" t="s">
        <v>331</v>
      </c>
      <c r="B218" s="5" t="s">
        <v>215</v>
      </c>
    </row>
    <row r="219" spans="1:2" x14ac:dyDescent="0.2">
      <c r="A219" t="s">
        <v>332</v>
      </c>
      <c r="B219" s="5" t="s">
        <v>217</v>
      </c>
    </row>
    <row r="220" spans="1:2" x14ac:dyDescent="0.2">
      <c r="A220" t="s">
        <v>333</v>
      </c>
      <c r="B220" s="5" t="s">
        <v>301</v>
      </c>
    </row>
    <row r="221" spans="1:2" x14ac:dyDescent="0.2">
      <c r="A221" t="s">
        <v>334</v>
      </c>
      <c r="B221" s="5" t="s">
        <v>301</v>
      </c>
    </row>
    <row r="222" spans="1:2" x14ac:dyDescent="0.2">
      <c r="A222" t="s">
        <v>335</v>
      </c>
      <c r="B222" s="5" t="s">
        <v>301</v>
      </c>
    </row>
    <row r="223" spans="1:2" x14ac:dyDescent="0.2">
      <c r="A223" t="s">
        <v>336</v>
      </c>
      <c r="B223" s="5" t="s">
        <v>301</v>
      </c>
    </row>
    <row r="224" spans="1:2" x14ac:dyDescent="0.2">
      <c r="A224" t="s">
        <v>337</v>
      </c>
      <c r="B224" s="5" t="s">
        <v>301</v>
      </c>
    </row>
    <row r="225" spans="1:2" x14ac:dyDescent="0.2">
      <c r="A225" t="s">
        <v>338</v>
      </c>
      <c r="B225" s="5" t="s">
        <v>301</v>
      </c>
    </row>
    <row r="226" spans="1:2" x14ac:dyDescent="0.2">
      <c r="A226" t="s">
        <v>339</v>
      </c>
      <c r="B226" s="5" t="s">
        <v>301</v>
      </c>
    </row>
    <row r="227" spans="1:2" x14ac:dyDescent="0.2">
      <c r="A227" t="s">
        <v>478</v>
      </c>
      <c r="B227" s="5" t="s">
        <v>301</v>
      </c>
    </row>
    <row r="228" spans="1:2" x14ac:dyDescent="0.2">
      <c r="A228" t="s">
        <v>341</v>
      </c>
      <c r="B228" s="5" t="s">
        <v>206</v>
      </c>
    </row>
    <row r="229" spans="1:2" x14ac:dyDescent="0.2">
      <c r="A229" t="s">
        <v>342</v>
      </c>
      <c r="B229" s="5" t="s">
        <v>343</v>
      </c>
    </row>
    <row r="230" spans="1:2" x14ac:dyDescent="0.2">
      <c r="A230" t="s">
        <v>344</v>
      </c>
      <c r="B230" s="5" t="s">
        <v>206</v>
      </c>
    </row>
    <row r="231" spans="1:2" x14ac:dyDescent="0.2">
      <c r="A231" t="s">
        <v>345</v>
      </c>
      <c r="B231" s="5" t="s">
        <v>206</v>
      </c>
    </row>
    <row r="232" spans="1:2" x14ac:dyDescent="0.2">
      <c r="A232" t="s">
        <v>346</v>
      </c>
      <c r="B232" s="5" t="s">
        <v>343</v>
      </c>
    </row>
    <row r="233" spans="1:2" x14ac:dyDescent="0.2">
      <c r="A233" t="s">
        <v>347</v>
      </c>
      <c r="B233" s="5" t="s">
        <v>206</v>
      </c>
    </row>
    <row r="234" spans="1:2" x14ac:dyDescent="0.2">
      <c r="A234" t="s">
        <v>348</v>
      </c>
      <c r="B234" s="5" t="s">
        <v>206</v>
      </c>
    </row>
    <row r="235" spans="1:2" x14ac:dyDescent="0.2">
      <c r="A235" t="s">
        <v>349</v>
      </c>
      <c r="B235" s="5" t="s">
        <v>343</v>
      </c>
    </row>
    <row r="236" spans="1:2" x14ac:dyDescent="0.2">
      <c r="A236" t="s">
        <v>350</v>
      </c>
      <c r="B236" s="5" t="s">
        <v>206</v>
      </c>
    </row>
    <row r="237" spans="1:2" x14ac:dyDescent="0.2">
      <c r="A237" t="s">
        <v>351</v>
      </c>
      <c r="B237" s="5" t="s">
        <v>206</v>
      </c>
    </row>
    <row r="238" spans="1:2" x14ac:dyDescent="0.2">
      <c r="A238" t="s">
        <v>352</v>
      </c>
      <c r="B238" s="5" t="s">
        <v>343</v>
      </c>
    </row>
    <row r="239" spans="1:2" x14ac:dyDescent="0.2">
      <c r="A239" t="s">
        <v>353</v>
      </c>
      <c r="B239" s="5" t="s">
        <v>206</v>
      </c>
    </row>
    <row r="240" spans="1:2" x14ac:dyDescent="0.2">
      <c r="A240" t="s">
        <v>354</v>
      </c>
      <c r="B240" s="5" t="s">
        <v>206</v>
      </c>
    </row>
    <row r="241" spans="1:2" x14ac:dyDescent="0.2">
      <c r="A241" t="s">
        <v>355</v>
      </c>
      <c r="B241" s="5" t="s">
        <v>343</v>
      </c>
    </row>
    <row r="242" spans="1:2" x14ac:dyDescent="0.2">
      <c r="A242" t="s">
        <v>356</v>
      </c>
      <c r="B242" s="5" t="s">
        <v>206</v>
      </c>
    </row>
    <row r="243" spans="1:2" x14ac:dyDescent="0.2">
      <c r="A243" t="s">
        <v>357</v>
      </c>
      <c r="B243" s="5" t="s">
        <v>206</v>
      </c>
    </row>
    <row r="244" spans="1:2" x14ac:dyDescent="0.2">
      <c r="A244" t="s">
        <v>358</v>
      </c>
      <c r="B244" s="5" t="s">
        <v>343</v>
      </c>
    </row>
    <row r="245" spans="1:2" x14ac:dyDescent="0.2">
      <c r="A245" t="s">
        <v>359</v>
      </c>
      <c r="B245" s="5" t="s">
        <v>206</v>
      </c>
    </row>
    <row r="246" spans="1:2" x14ac:dyDescent="0.2">
      <c r="A246" t="s">
        <v>360</v>
      </c>
      <c r="B246" s="5" t="s">
        <v>206</v>
      </c>
    </row>
    <row r="247" spans="1:2" x14ac:dyDescent="0.2">
      <c r="A247" t="s">
        <v>361</v>
      </c>
      <c r="B247" s="5" t="s">
        <v>343</v>
      </c>
    </row>
    <row r="248" spans="1:2" x14ac:dyDescent="0.2">
      <c r="A248" t="s">
        <v>362</v>
      </c>
      <c r="B248" s="5" t="s">
        <v>206</v>
      </c>
    </row>
    <row r="249" spans="1:2" x14ac:dyDescent="0.2">
      <c r="A249" t="s">
        <v>363</v>
      </c>
      <c r="B249" s="5" t="s">
        <v>206</v>
      </c>
    </row>
    <row r="250" spans="1:2" x14ac:dyDescent="0.2">
      <c r="A250" t="s">
        <v>364</v>
      </c>
      <c r="B250" s="5" t="s">
        <v>343</v>
      </c>
    </row>
    <row r="251" spans="1:2" x14ac:dyDescent="0.2">
      <c r="A251" t="s">
        <v>365</v>
      </c>
      <c r="B251" s="5" t="s">
        <v>206</v>
      </c>
    </row>
    <row r="252" spans="1:2" x14ac:dyDescent="0.2">
      <c r="A252" t="s">
        <v>366</v>
      </c>
      <c r="B252" s="5" t="s">
        <v>206</v>
      </c>
    </row>
    <row r="253" spans="1:2" x14ac:dyDescent="0.2">
      <c r="A253" t="s">
        <v>367</v>
      </c>
      <c r="B253" s="5" t="s">
        <v>343</v>
      </c>
    </row>
    <row r="254" spans="1:2" x14ac:dyDescent="0.2">
      <c r="A254" t="s">
        <v>368</v>
      </c>
      <c r="B254" s="5" t="s">
        <v>206</v>
      </c>
    </row>
    <row r="255" spans="1:2" x14ac:dyDescent="0.2">
      <c r="A255" t="s">
        <v>369</v>
      </c>
      <c r="B255" s="5" t="s">
        <v>206</v>
      </c>
    </row>
    <row r="256" spans="1:2" x14ac:dyDescent="0.2">
      <c r="A256" t="s">
        <v>370</v>
      </c>
      <c r="B256" s="5" t="s">
        <v>343</v>
      </c>
    </row>
    <row r="257" spans="1:2" x14ac:dyDescent="0.2">
      <c r="A257" t="s">
        <v>371</v>
      </c>
      <c r="B257" s="5" t="s">
        <v>206</v>
      </c>
    </row>
    <row r="258" spans="1:2" x14ac:dyDescent="0.2">
      <c r="A258" t="s">
        <v>372</v>
      </c>
      <c r="B258" s="5" t="s">
        <v>206</v>
      </c>
    </row>
    <row r="259" spans="1:2" x14ac:dyDescent="0.2">
      <c r="A259" t="s">
        <v>373</v>
      </c>
      <c r="B259" s="5" t="s">
        <v>343</v>
      </c>
    </row>
    <row r="260" spans="1:2" x14ac:dyDescent="0.2">
      <c r="A260" t="s">
        <v>374</v>
      </c>
      <c r="B260" s="5" t="s">
        <v>206</v>
      </c>
    </row>
    <row r="261" spans="1:2" x14ac:dyDescent="0.2">
      <c r="A261" t="s">
        <v>375</v>
      </c>
      <c r="B261" s="5" t="s">
        <v>206</v>
      </c>
    </row>
    <row r="262" spans="1:2" x14ac:dyDescent="0.2">
      <c r="A262" t="s">
        <v>376</v>
      </c>
      <c r="B262" s="5" t="s">
        <v>343</v>
      </c>
    </row>
    <row r="263" spans="1:2" x14ac:dyDescent="0.2">
      <c r="A263" t="s">
        <v>377</v>
      </c>
      <c r="B263" s="5" t="s">
        <v>206</v>
      </c>
    </row>
    <row r="264" spans="1:2" x14ac:dyDescent="0.2">
      <c r="A264" t="s">
        <v>378</v>
      </c>
      <c r="B264" s="5" t="s">
        <v>206</v>
      </c>
    </row>
    <row r="265" spans="1:2" x14ac:dyDescent="0.2">
      <c r="A265" t="s">
        <v>379</v>
      </c>
      <c r="B265" s="5" t="s">
        <v>343</v>
      </c>
    </row>
    <row r="266" spans="1:2" x14ac:dyDescent="0.2">
      <c r="A266" t="s">
        <v>380</v>
      </c>
      <c r="B266" s="5" t="s">
        <v>206</v>
      </c>
    </row>
    <row r="267" spans="1:2" x14ac:dyDescent="0.2">
      <c r="A267" t="s">
        <v>381</v>
      </c>
      <c r="B267" s="5" t="s">
        <v>206</v>
      </c>
    </row>
    <row r="268" spans="1:2" x14ac:dyDescent="0.2">
      <c r="A268" t="s">
        <v>382</v>
      </c>
      <c r="B268" s="5" t="s">
        <v>343</v>
      </c>
    </row>
    <row r="269" spans="1:2" x14ac:dyDescent="0.2">
      <c r="A269" t="s">
        <v>383</v>
      </c>
      <c r="B269" s="5" t="s">
        <v>206</v>
      </c>
    </row>
    <row r="270" spans="1:2" x14ac:dyDescent="0.2">
      <c r="A270" t="s">
        <v>384</v>
      </c>
      <c r="B270" s="5" t="s">
        <v>206</v>
      </c>
    </row>
    <row r="271" spans="1:2" x14ac:dyDescent="0.2">
      <c r="A271" t="s">
        <v>385</v>
      </c>
      <c r="B271" s="5" t="s">
        <v>343</v>
      </c>
    </row>
    <row r="272" spans="1:2" x14ac:dyDescent="0.2">
      <c r="A272" t="s">
        <v>386</v>
      </c>
      <c r="B272" s="5" t="s">
        <v>206</v>
      </c>
    </row>
    <row r="273" spans="1:2" x14ac:dyDescent="0.2">
      <c r="A273" t="s">
        <v>387</v>
      </c>
      <c r="B273" s="5" t="s">
        <v>206</v>
      </c>
    </row>
    <row r="274" spans="1:2" x14ac:dyDescent="0.2">
      <c r="A274" t="s">
        <v>388</v>
      </c>
      <c r="B274" s="5" t="s">
        <v>343</v>
      </c>
    </row>
    <row r="275" spans="1:2" x14ac:dyDescent="0.2">
      <c r="A275" t="s">
        <v>389</v>
      </c>
      <c r="B275" s="5" t="s">
        <v>206</v>
      </c>
    </row>
    <row r="276" spans="1:2" x14ac:dyDescent="0.2">
      <c r="A276" t="s">
        <v>390</v>
      </c>
      <c r="B276" s="5" t="s">
        <v>206</v>
      </c>
    </row>
    <row r="277" spans="1:2" x14ac:dyDescent="0.2">
      <c r="A277" t="s">
        <v>391</v>
      </c>
      <c r="B277" s="5" t="s">
        <v>343</v>
      </c>
    </row>
    <row r="278" spans="1:2" x14ac:dyDescent="0.2">
      <c r="A278" t="s">
        <v>392</v>
      </c>
      <c r="B278" s="5">
        <v>0.1</v>
      </c>
    </row>
    <row r="279" spans="1:2" x14ac:dyDescent="0.2">
      <c r="A279" t="s">
        <v>393</v>
      </c>
      <c r="B279" s="5" t="s">
        <v>206</v>
      </c>
    </row>
    <row r="280" spans="1:2" x14ac:dyDescent="0.2">
      <c r="A280" t="s">
        <v>394</v>
      </c>
      <c r="B280" s="5" t="s">
        <v>343</v>
      </c>
    </row>
    <row r="281" spans="1:2" x14ac:dyDescent="0.2">
      <c r="A281" t="s">
        <v>395</v>
      </c>
      <c r="B281" s="5" t="s">
        <v>206</v>
      </c>
    </row>
    <row r="282" spans="1:2" x14ac:dyDescent="0.2">
      <c r="A282" t="s">
        <v>396</v>
      </c>
      <c r="B282" s="5" t="s">
        <v>206</v>
      </c>
    </row>
    <row r="283" spans="1:2" x14ac:dyDescent="0.2">
      <c r="A283" t="s">
        <v>397</v>
      </c>
      <c r="B283" s="5" t="s">
        <v>343</v>
      </c>
    </row>
    <row r="284" spans="1:2" x14ac:dyDescent="0.2">
      <c r="A284" t="s">
        <v>398</v>
      </c>
      <c r="B284" s="5" t="s">
        <v>206</v>
      </c>
    </row>
    <row r="285" spans="1:2" x14ac:dyDescent="0.2">
      <c r="A285" t="s">
        <v>399</v>
      </c>
      <c r="B285" s="5" t="s">
        <v>206</v>
      </c>
    </row>
    <row r="286" spans="1:2" x14ac:dyDescent="0.2">
      <c r="A286" t="s">
        <v>400</v>
      </c>
      <c r="B286" s="5" t="s">
        <v>343</v>
      </c>
    </row>
    <row r="287" spans="1:2" x14ac:dyDescent="0.2">
      <c r="A287" t="s">
        <v>401</v>
      </c>
      <c r="B287" s="5" t="s">
        <v>206</v>
      </c>
    </row>
    <row r="288" spans="1:2" x14ac:dyDescent="0.2">
      <c r="A288" t="s">
        <v>402</v>
      </c>
      <c r="B288" s="5" t="s">
        <v>206</v>
      </c>
    </row>
    <row r="289" spans="1:2" x14ac:dyDescent="0.2">
      <c r="A289" t="s">
        <v>403</v>
      </c>
      <c r="B289" s="5" t="s">
        <v>343</v>
      </c>
    </row>
    <row r="290" spans="1:2" x14ac:dyDescent="0.2">
      <c r="A290" t="s">
        <v>404</v>
      </c>
      <c r="B290" s="5" t="s">
        <v>206</v>
      </c>
    </row>
    <row r="291" spans="1:2" x14ac:dyDescent="0.2">
      <c r="A291" t="s">
        <v>405</v>
      </c>
      <c r="B291" s="5" t="s">
        <v>206</v>
      </c>
    </row>
    <row r="292" spans="1:2" x14ac:dyDescent="0.2">
      <c r="A292" t="s">
        <v>406</v>
      </c>
      <c r="B292" s="5" t="s">
        <v>343</v>
      </c>
    </row>
    <row r="293" spans="1:2" x14ac:dyDescent="0.2">
      <c r="A293" t="s">
        <v>407</v>
      </c>
      <c r="B293" s="5" t="s">
        <v>206</v>
      </c>
    </row>
    <row r="294" spans="1:2" x14ac:dyDescent="0.2">
      <c r="A294" t="s">
        <v>408</v>
      </c>
      <c r="B294" s="5" t="s">
        <v>206</v>
      </c>
    </row>
    <row r="295" spans="1:2" x14ac:dyDescent="0.2">
      <c r="A295" t="s">
        <v>409</v>
      </c>
      <c r="B295" s="5" t="s">
        <v>343</v>
      </c>
    </row>
    <row r="296" spans="1:2" x14ac:dyDescent="0.2">
      <c r="A296" t="s">
        <v>410</v>
      </c>
      <c r="B296" s="5" t="s">
        <v>206</v>
      </c>
    </row>
    <row r="297" spans="1:2" x14ac:dyDescent="0.2">
      <c r="A297" t="s">
        <v>411</v>
      </c>
      <c r="B297" s="5" t="s">
        <v>206</v>
      </c>
    </row>
    <row r="298" spans="1:2" x14ac:dyDescent="0.2">
      <c r="A298" t="s">
        <v>412</v>
      </c>
      <c r="B298" s="5" t="s">
        <v>343</v>
      </c>
    </row>
    <row r="299" spans="1:2" x14ac:dyDescent="0.2">
      <c r="A299" t="s">
        <v>413</v>
      </c>
      <c r="B299" s="5" t="s">
        <v>206</v>
      </c>
    </row>
    <row r="300" spans="1:2" x14ac:dyDescent="0.2">
      <c r="A300" t="s">
        <v>414</v>
      </c>
      <c r="B300" s="5" t="s">
        <v>206</v>
      </c>
    </row>
    <row r="301" spans="1:2" x14ac:dyDescent="0.2">
      <c r="A301" t="s">
        <v>415</v>
      </c>
      <c r="B301" s="5" t="s">
        <v>343</v>
      </c>
    </row>
    <row r="302" spans="1:2" x14ac:dyDescent="0.2">
      <c r="A302" t="s">
        <v>416</v>
      </c>
      <c r="B302" s="5" t="s">
        <v>206</v>
      </c>
    </row>
    <row r="303" spans="1:2" x14ac:dyDescent="0.2">
      <c r="A303" t="s">
        <v>417</v>
      </c>
      <c r="B303" s="5" t="s">
        <v>206</v>
      </c>
    </row>
    <row r="304" spans="1:2" x14ac:dyDescent="0.2">
      <c r="A304" t="s">
        <v>418</v>
      </c>
      <c r="B304" s="5" t="s">
        <v>343</v>
      </c>
    </row>
    <row r="305" spans="1:2" x14ac:dyDescent="0.2">
      <c r="A305" t="s">
        <v>419</v>
      </c>
      <c r="B305" s="5" t="s">
        <v>206</v>
      </c>
    </row>
    <row r="306" spans="1:2" x14ac:dyDescent="0.2">
      <c r="A306" t="s">
        <v>420</v>
      </c>
      <c r="B306" s="5" t="s">
        <v>206</v>
      </c>
    </row>
    <row r="307" spans="1:2" x14ac:dyDescent="0.2">
      <c r="A307" t="s">
        <v>421</v>
      </c>
      <c r="B307" s="5" t="s">
        <v>343</v>
      </c>
    </row>
    <row r="308" spans="1:2" x14ac:dyDescent="0.2">
      <c r="A308" t="s">
        <v>422</v>
      </c>
      <c r="B308" s="5" t="s">
        <v>206</v>
      </c>
    </row>
    <row r="309" spans="1:2" x14ac:dyDescent="0.2">
      <c r="A309" t="s">
        <v>423</v>
      </c>
      <c r="B309" s="5" t="s">
        <v>206</v>
      </c>
    </row>
    <row r="310" spans="1:2" x14ac:dyDescent="0.2">
      <c r="A310" t="s">
        <v>424</v>
      </c>
      <c r="B310" s="5" t="s">
        <v>343</v>
      </c>
    </row>
    <row r="311" spans="1:2" x14ac:dyDescent="0.2">
      <c r="A311" t="s">
        <v>425</v>
      </c>
      <c r="B311" s="5" t="s">
        <v>206</v>
      </c>
    </row>
    <row r="312" spans="1:2" x14ac:dyDescent="0.2">
      <c r="A312" t="s">
        <v>426</v>
      </c>
      <c r="B312" s="5" t="s">
        <v>206</v>
      </c>
    </row>
    <row r="313" spans="1:2" x14ac:dyDescent="0.2">
      <c r="A313" t="s">
        <v>427</v>
      </c>
      <c r="B313" s="5" t="s">
        <v>343</v>
      </c>
    </row>
    <row r="314" spans="1:2" x14ac:dyDescent="0.2">
      <c r="A314" t="s">
        <v>428</v>
      </c>
      <c r="B314" s="5" t="s">
        <v>206</v>
      </c>
    </row>
    <row r="315" spans="1:2" x14ac:dyDescent="0.2">
      <c r="A315" t="s">
        <v>429</v>
      </c>
      <c r="B315" s="5" t="s">
        <v>206</v>
      </c>
    </row>
    <row r="316" spans="1:2" x14ac:dyDescent="0.2">
      <c r="A316" t="s">
        <v>430</v>
      </c>
      <c r="B316" s="5" t="s">
        <v>343</v>
      </c>
    </row>
    <row r="317" spans="1:2" x14ac:dyDescent="0.2">
      <c r="A317" t="s">
        <v>431</v>
      </c>
      <c r="B317" s="5" t="s">
        <v>206</v>
      </c>
    </row>
    <row r="318" spans="1:2" x14ac:dyDescent="0.2">
      <c r="A318" t="s">
        <v>432</v>
      </c>
      <c r="B318" s="5" t="s">
        <v>206</v>
      </c>
    </row>
    <row r="319" spans="1:2" x14ac:dyDescent="0.2">
      <c r="A319" t="s">
        <v>433</v>
      </c>
      <c r="B319" s="5" t="s">
        <v>343</v>
      </c>
    </row>
    <row r="320" spans="1:2" x14ac:dyDescent="0.2">
      <c r="A320" t="s">
        <v>434</v>
      </c>
      <c r="B320" s="5" t="s">
        <v>206</v>
      </c>
    </row>
    <row r="321" spans="1:2" x14ac:dyDescent="0.2">
      <c r="A321" t="s">
        <v>435</v>
      </c>
      <c r="B321" s="5" t="s">
        <v>206</v>
      </c>
    </row>
    <row r="322" spans="1:2" x14ac:dyDescent="0.2">
      <c r="A322" t="s">
        <v>436</v>
      </c>
      <c r="B322" s="5" t="s">
        <v>343</v>
      </c>
    </row>
    <row r="323" spans="1:2" x14ac:dyDescent="0.2">
      <c r="A323" t="s">
        <v>437</v>
      </c>
      <c r="B323" s="5" t="s">
        <v>206</v>
      </c>
    </row>
    <row r="324" spans="1:2" x14ac:dyDescent="0.2">
      <c r="A324" t="s">
        <v>438</v>
      </c>
      <c r="B324" s="5" t="s">
        <v>206</v>
      </c>
    </row>
    <row r="325" spans="1:2" x14ac:dyDescent="0.2">
      <c r="A325" t="s">
        <v>439</v>
      </c>
      <c r="B325" s="5" t="s">
        <v>343</v>
      </c>
    </row>
    <row r="326" spans="1:2" x14ac:dyDescent="0.2">
      <c r="A326" t="s">
        <v>440</v>
      </c>
      <c r="B326" s="5" t="s">
        <v>206</v>
      </c>
    </row>
    <row r="327" spans="1:2" x14ac:dyDescent="0.2">
      <c r="A327" t="s">
        <v>441</v>
      </c>
      <c r="B327" s="5" t="s">
        <v>206</v>
      </c>
    </row>
    <row r="328" spans="1:2" x14ac:dyDescent="0.2">
      <c r="A328" t="s">
        <v>442</v>
      </c>
      <c r="B328" s="5" t="s">
        <v>343</v>
      </c>
    </row>
    <row r="329" spans="1:2" x14ac:dyDescent="0.2">
      <c r="A329" t="s">
        <v>443</v>
      </c>
      <c r="B329" s="5" t="s">
        <v>206</v>
      </c>
    </row>
    <row r="330" spans="1:2" x14ac:dyDescent="0.2">
      <c r="A330" t="s">
        <v>444</v>
      </c>
      <c r="B330" s="5" t="s">
        <v>206</v>
      </c>
    </row>
    <row r="331" spans="1:2" x14ac:dyDescent="0.2">
      <c r="A331" t="s">
        <v>445</v>
      </c>
      <c r="B331" s="5" t="s">
        <v>343</v>
      </c>
    </row>
    <row r="332" spans="1:2" x14ac:dyDescent="0.2">
      <c r="A332" t="s">
        <v>446</v>
      </c>
      <c r="B332" s="5" t="s">
        <v>206</v>
      </c>
    </row>
    <row r="333" spans="1:2" x14ac:dyDescent="0.2">
      <c r="A333" t="s">
        <v>447</v>
      </c>
      <c r="B333" s="5" t="s">
        <v>206</v>
      </c>
    </row>
    <row r="334" spans="1:2" x14ac:dyDescent="0.2">
      <c r="A334" t="s">
        <v>448</v>
      </c>
      <c r="B334" s="5" t="s">
        <v>343</v>
      </c>
    </row>
    <row r="335" spans="1:2" x14ac:dyDescent="0.2">
      <c r="A335" t="s">
        <v>449</v>
      </c>
      <c r="B335" s="5" t="s">
        <v>206</v>
      </c>
    </row>
    <row r="336" spans="1:2" x14ac:dyDescent="0.2">
      <c r="A336" t="s">
        <v>450</v>
      </c>
      <c r="B336" s="5" t="s">
        <v>301</v>
      </c>
    </row>
    <row r="337" spans="1:2" x14ac:dyDescent="0.2">
      <c r="A337" t="s">
        <v>451</v>
      </c>
      <c r="B337" s="5" t="s">
        <v>343</v>
      </c>
    </row>
    <row r="338" spans="1:2" x14ac:dyDescent="0.2">
      <c r="A338" t="s">
        <v>452</v>
      </c>
      <c r="B338" s="5" t="s">
        <v>301</v>
      </c>
    </row>
    <row r="339" spans="1:2" x14ac:dyDescent="0.2">
      <c r="A339" t="s">
        <v>453</v>
      </c>
      <c r="B339" s="5" t="s">
        <v>301</v>
      </c>
    </row>
    <row r="340" spans="1:2" x14ac:dyDescent="0.2">
      <c r="A340" t="s">
        <v>454</v>
      </c>
      <c r="B340" s="5" t="s">
        <v>343</v>
      </c>
    </row>
    <row r="341" spans="1:2" x14ac:dyDescent="0.2">
      <c r="A341" t="s">
        <v>455</v>
      </c>
      <c r="B341" s="5" t="s">
        <v>301</v>
      </c>
    </row>
    <row r="342" spans="1:2" x14ac:dyDescent="0.2">
      <c r="A342" t="s">
        <v>450</v>
      </c>
      <c r="B342" s="5" t="s">
        <v>206</v>
      </c>
    </row>
    <row r="343" spans="1:2" x14ac:dyDescent="0.2">
      <c r="A343" t="s">
        <v>451</v>
      </c>
      <c r="B343" s="5" t="s">
        <v>343</v>
      </c>
    </row>
    <row r="344" spans="1:2" x14ac:dyDescent="0.2">
      <c r="A344" t="s">
        <v>452</v>
      </c>
      <c r="B344" s="5" t="s">
        <v>206</v>
      </c>
    </row>
    <row r="345" spans="1:2" x14ac:dyDescent="0.2">
      <c r="A345" t="s">
        <v>453</v>
      </c>
      <c r="B345" s="5" t="s">
        <v>206</v>
      </c>
    </row>
    <row r="346" spans="1:2" x14ac:dyDescent="0.2">
      <c r="A346" t="s">
        <v>454</v>
      </c>
      <c r="B346" s="5" t="s">
        <v>343</v>
      </c>
    </row>
    <row r="347" spans="1:2" x14ac:dyDescent="0.2">
      <c r="A347" t="s">
        <v>455</v>
      </c>
      <c r="B347" s="5" t="s">
        <v>206</v>
      </c>
    </row>
    <row r="348" spans="1:2" x14ac:dyDescent="0.2">
      <c r="A348" t="s">
        <v>456</v>
      </c>
      <c r="B348" s="5">
        <f>2*PI()/10</f>
        <v>0.62831853071795862</v>
      </c>
    </row>
    <row r="349" spans="1:2" x14ac:dyDescent="0.2">
      <c r="A349" t="s">
        <v>456</v>
      </c>
      <c r="B349" s="5">
        <f>2*PI()/2400</f>
        <v>2.6179938779914941E-3</v>
      </c>
    </row>
    <row r="350" spans="1:2" x14ac:dyDescent="0.2">
      <c r="A350" t="s">
        <v>457</v>
      </c>
      <c r="B350" s="5">
        <f>2*PI()/12000</f>
        <v>5.2359877559829881E-4</v>
      </c>
    </row>
    <row r="351" spans="1:2" x14ac:dyDescent="0.2">
      <c r="A351" t="s">
        <v>458</v>
      </c>
      <c r="B351" s="5" t="s">
        <v>206</v>
      </c>
    </row>
    <row r="352" spans="1:2" x14ac:dyDescent="0.2">
      <c r="A352" t="s">
        <v>459</v>
      </c>
      <c r="B352" s="5" t="s">
        <v>460</v>
      </c>
    </row>
    <row r="353" spans="1:6" x14ac:dyDescent="0.2">
      <c r="A353" t="s">
        <v>461</v>
      </c>
      <c r="B353" s="5" t="s">
        <v>462</v>
      </c>
    </row>
    <row r="354" spans="1:6" x14ac:dyDescent="0.2">
      <c r="A354" t="s">
        <v>463</v>
      </c>
      <c r="B354" s="5" t="s">
        <v>217</v>
      </c>
    </row>
    <row r="355" spans="1:6" x14ac:dyDescent="0.2">
      <c r="A355" t="s">
        <v>464</v>
      </c>
      <c r="B355" s="5" t="s">
        <v>465</v>
      </c>
    </row>
    <row r="356" spans="1:6" x14ac:dyDescent="0.2">
      <c r="A356" t="s">
        <v>466</v>
      </c>
      <c r="B356" s="5" t="s">
        <v>215</v>
      </c>
    </row>
    <row r="357" spans="1:6" x14ac:dyDescent="0.2">
      <c r="A357" t="s">
        <v>467</v>
      </c>
      <c r="B357">
        <v>0</v>
      </c>
    </row>
    <row r="358" spans="1:6" x14ac:dyDescent="0.2">
      <c r="A358" s="9" t="s">
        <v>506</v>
      </c>
      <c r="B358" s="9">
        <v>100</v>
      </c>
    </row>
    <row r="359" spans="1:6" x14ac:dyDescent="0.2">
      <c r="A359" s="9" t="s">
        <v>507</v>
      </c>
      <c r="B359" s="9">
        <v>0.1</v>
      </c>
      <c r="F359" s="9"/>
    </row>
    <row r="360" spans="1:6" x14ac:dyDescent="0.2">
      <c r="A360" s="9" t="s">
        <v>508</v>
      </c>
      <c r="B360" s="9">
        <v>100</v>
      </c>
      <c r="F360" s="9"/>
    </row>
    <row r="361" spans="1:6" x14ac:dyDescent="0.2">
      <c r="A361" s="9" t="s">
        <v>509</v>
      </c>
      <c r="B361" s="9">
        <v>0.04</v>
      </c>
      <c r="F361" s="9"/>
    </row>
    <row r="362" spans="1:6" x14ac:dyDescent="0.2">
      <c r="A362" s="9" t="s">
        <v>511</v>
      </c>
      <c r="B362" s="9">
        <v>0.5</v>
      </c>
      <c r="F362" s="9"/>
    </row>
    <row r="363" spans="1:6" x14ac:dyDescent="0.2">
      <c r="A363" s="9" t="s">
        <v>515</v>
      </c>
      <c r="B363" s="9">
        <v>0.01</v>
      </c>
      <c r="F363" s="9"/>
    </row>
    <row r="364" spans="1:6" x14ac:dyDescent="0.2">
      <c r="A364" s="9" t="s">
        <v>510</v>
      </c>
      <c r="B364" s="9">
        <v>0.5</v>
      </c>
      <c r="F364" s="9"/>
    </row>
    <row r="365" spans="1:6" x14ac:dyDescent="0.2">
      <c r="A365" s="9" t="s">
        <v>526</v>
      </c>
      <c r="B365" s="9">
        <v>0.01</v>
      </c>
      <c r="F365" s="9"/>
    </row>
    <row r="366" spans="1:6" x14ac:dyDescent="0.2">
      <c r="A366" s="9" t="s">
        <v>527</v>
      </c>
      <c r="B366" s="9">
        <v>1E-3</v>
      </c>
      <c r="F366" s="9"/>
    </row>
    <row r="367" spans="1:6" x14ac:dyDescent="0.2">
      <c r="A367" s="9" t="s">
        <v>512</v>
      </c>
      <c r="B367" s="9">
        <v>5.0000000000000001E-3</v>
      </c>
      <c r="F367" s="9"/>
    </row>
    <row r="368" spans="1:6" x14ac:dyDescent="0.2">
      <c r="A368" s="9" t="s">
        <v>514</v>
      </c>
      <c r="B368" s="9">
        <v>5.0000000000000001E-3</v>
      </c>
      <c r="F368" s="9"/>
    </row>
    <row r="369" spans="1:6" x14ac:dyDescent="0.2">
      <c r="A369" s="9" t="s">
        <v>513</v>
      </c>
      <c r="B369" s="9">
        <v>1.8</v>
      </c>
      <c r="F369" s="9"/>
    </row>
    <row r="370" spans="1:6" x14ac:dyDescent="0.2">
      <c r="A370" s="9" t="s">
        <v>525</v>
      </c>
      <c r="B370" s="9">
        <v>10</v>
      </c>
      <c r="F370" s="9"/>
    </row>
    <row r="371" spans="1:6" x14ac:dyDescent="0.2">
      <c r="A371" s="9" t="s">
        <v>528</v>
      </c>
      <c r="B371" s="9">
        <v>5.0000000000000001E-3</v>
      </c>
      <c r="F371" s="9"/>
    </row>
    <row r="372" spans="1:6" x14ac:dyDescent="0.2">
      <c r="A372" s="9" t="s">
        <v>520</v>
      </c>
      <c r="B372" s="9">
        <v>0.5</v>
      </c>
      <c r="F372" s="9"/>
    </row>
    <row r="373" spans="1:6" x14ac:dyDescent="0.2">
      <c r="A373" s="9" t="s">
        <v>517</v>
      </c>
      <c r="B373" s="9">
        <v>1</v>
      </c>
      <c r="F373" s="9"/>
    </row>
    <row r="374" spans="1:6" x14ac:dyDescent="0.2">
      <c r="A374" s="9" t="s">
        <v>518</v>
      </c>
      <c r="B374" s="9">
        <v>0.05</v>
      </c>
      <c r="F374" s="9"/>
    </row>
    <row r="375" spans="1:6" x14ac:dyDescent="0.2">
      <c r="A375" s="9" t="s">
        <v>519</v>
      </c>
      <c r="B375" s="9">
        <v>1</v>
      </c>
      <c r="F375" s="9"/>
    </row>
    <row r="376" spans="1:6" x14ac:dyDescent="0.2">
      <c r="A376" s="9" t="s">
        <v>521</v>
      </c>
      <c r="B376" s="9">
        <v>0.2</v>
      </c>
      <c r="F376" s="9"/>
    </row>
    <row r="377" spans="1:6" x14ac:dyDescent="0.2">
      <c r="A377" s="9" t="s">
        <v>522</v>
      </c>
      <c r="B377" s="9">
        <v>1</v>
      </c>
      <c r="F377" s="9"/>
    </row>
    <row r="378" spans="1:6" x14ac:dyDescent="0.2">
      <c r="A378" s="9" t="s">
        <v>523</v>
      </c>
      <c r="B378" s="9">
        <v>5.0000000000000001E-3</v>
      </c>
      <c r="F378" s="9"/>
    </row>
    <row r="379" spans="1:6" x14ac:dyDescent="0.2">
      <c r="A379" s="9" t="s">
        <v>524</v>
      </c>
      <c r="B379" s="9">
        <v>1</v>
      </c>
      <c r="F379" s="9"/>
    </row>
    <row r="380" spans="1:6" x14ac:dyDescent="0.2">
      <c r="A380" s="9" t="s">
        <v>516</v>
      </c>
      <c r="B380" s="9">
        <v>0.05</v>
      </c>
      <c r="F380" s="9"/>
    </row>
    <row r="381" spans="1:6" x14ac:dyDescent="0.2">
      <c r="F381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95DD-EE30-423F-BA0F-544AD143C644}">
  <dimension ref="A1:B276"/>
  <sheetViews>
    <sheetView topLeftCell="A254" workbookViewId="0">
      <selection activeCell="A2" sqref="A2:B276"/>
    </sheetView>
  </sheetViews>
  <sheetFormatPr baseColWidth="10" defaultColWidth="8.83203125" defaultRowHeight="15" x14ac:dyDescent="0.2"/>
  <cols>
    <col min="1" max="1" width="23.1640625" bestFit="1" customWidth="1"/>
    <col min="2" max="2" width="13.5" bestFit="1" customWidth="1"/>
  </cols>
  <sheetData>
    <row r="1" spans="1:2" x14ac:dyDescent="0.2">
      <c r="A1" t="s">
        <v>165</v>
      </c>
      <c r="B1" s="4" t="s">
        <v>166</v>
      </c>
    </row>
    <row r="2" spans="1:2" x14ac:dyDescent="0.2">
      <c r="A2" t="s">
        <v>167</v>
      </c>
      <c r="B2" s="4" t="s">
        <v>168</v>
      </c>
    </row>
    <row r="3" spans="1:2" x14ac:dyDescent="0.2">
      <c r="A3" t="s">
        <v>169</v>
      </c>
      <c r="B3" s="4" t="s">
        <v>170</v>
      </c>
    </row>
    <row r="4" spans="1:2" x14ac:dyDescent="0.2">
      <c r="A4" t="s">
        <v>171</v>
      </c>
      <c r="B4" s="4" t="s">
        <v>172</v>
      </c>
    </row>
    <row r="5" spans="1:2" x14ac:dyDescent="0.2">
      <c r="A5" t="s">
        <v>173</v>
      </c>
      <c r="B5" s="4" t="s">
        <v>174</v>
      </c>
    </row>
    <row r="6" spans="1:2" x14ac:dyDescent="0.2">
      <c r="A6" t="s">
        <v>175</v>
      </c>
      <c r="B6" s="4" t="s">
        <v>176</v>
      </c>
    </row>
    <row r="7" spans="1:2" x14ac:dyDescent="0.2">
      <c r="A7" t="s">
        <v>177</v>
      </c>
      <c r="B7" s="4" t="s">
        <v>178</v>
      </c>
    </row>
    <row r="8" spans="1:2" x14ac:dyDescent="0.2">
      <c r="A8" t="s">
        <v>179</v>
      </c>
      <c r="B8" s="4" t="s">
        <v>180</v>
      </c>
    </row>
    <row r="9" spans="1:2" x14ac:dyDescent="0.2">
      <c r="A9" t="s">
        <v>181</v>
      </c>
      <c r="B9" s="4" t="s">
        <v>182</v>
      </c>
    </row>
    <row r="10" spans="1:2" x14ac:dyDescent="0.2">
      <c r="A10" t="s">
        <v>183</v>
      </c>
      <c r="B10" s="4" t="s">
        <v>184</v>
      </c>
    </row>
    <row r="11" spans="1:2" x14ac:dyDescent="0.2">
      <c r="A11" t="s">
        <v>185</v>
      </c>
      <c r="B11" s="4" t="s">
        <v>186</v>
      </c>
    </row>
    <row r="12" spans="1:2" x14ac:dyDescent="0.2">
      <c r="A12" t="s">
        <v>187</v>
      </c>
      <c r="B12" s="4" t="s">
        <v>188</v>
      </c>
    </row>
    <row r="13" spans="1:2" x14ac:dyDescent="0.2">
      <c r="A13" t="s">
        <v>189</v>
      </c>
      <c r="B13" s="4" t="s">
        <v>190</v>
      </c>
    </row>
    <row r="14" spans="1:2" x14ac:dyDescent="0.2">
      <c r="A14" t="s">
        <v>191</v>
      </c>
      <c r="B14" s="4" t="s">
        <v>192</v>
      </c>
    </row>
    <row r="15" spans="1:2" x14ac:dyDescent="0.2">
      <c r="A15" t="s">
        <v>193</v>
      </c>
      <c r="B15" s="4" t="s">
        <v>194</v>
      </c>
    </row>
    <row r="16" spans="1:2" x14ac:dyDescent="0.2">
      <c r="A16" t="s">
        <v>195</v>
      </c>
      <c r="B16" s="4" t="s">
        <v>196</v>
      </c>
    </row>
    <row r="17" spans="1:2" x14ac:dyDescent="0.2">
      <c r="A17" t="s">
        <v>197</v>
      </c>
      <c r="B17" s="4" t="s">
        <v>198</v>
      </c>
    </row>
    <row r="18" spans="1:2" x14ac:dyDescent="0.2">
      <c r="A18" t="s">
        <v>199</v>
      </c>
      <c r="B18" s="4" t="s">
        <v>200</v>
      </c>
    </row>
    <row r="19" spans="1:2" x14ac:dyDescent="0.2">
      <c r="A19" t="s">
        <v>201</v>
      </c>
      <c r="B19" s="4" t="s">
        <v>202</v>
      </c>
    </row>
    <row r="20" spans="1:2" x14ac:dyDescent="0.2">
      <c r="A20" t="s">
        <v>203</v>
      </c>
      <c r="B20" s="4" t="s">
        <v>204</v>
      </c>
    </row>
    <row r="21" spans="1:2" x14ac:dyDescent="0.2">
      <c r="A21" t="s">
        <v>205</v>
      </c>
      <c r="B21" s="4" t="s">
        <v>206</v>
      </c>
    </row>
    <row r="22" spans="1:2" x14ac:dyDescent="0.2">
      <c r="A22" t="s">
        <v>207</v>
      </c>
      <c r="B22" s="4" t="s">
        <v>204</v>
      </c>
    </row>
    <row r="23" spans="1:2" x14ac:dyDescent="0.2">
      <c r="A23" t="s">
        <v>208</v>
      </c>
      <c r="B23" s="4" t="s">
        <v>209</v>
      </c>
    </row>
    <row r="24" spans="1:2" x14ac:dyDescent="0.2">
      <c r="A24" t="s">
        <v>210</v>
      </c>
      <c r="B24" s="4" t="s">
        <v>211</v>
      </c>
    </row>
    <row r="25" spans="1:2" x14ac:dyDescent="0.2">
      <c r="A25" t="s">
        <v>212</v>
      </c>
      <c r="B25" s="4" t="s">
        <v>213</v>
      </c>
    </row>
    <row r="26" spans="1:2" x14ac:dyDescent="0.2">
      <c r="A26" t="s">
        <v>214</v>
      </c>
      <c r="B26" s="4" t="s">
        <v>215</v>
      </c>
    </row>
    <row r="27" spans="1:2" x14ac:dyDescent="0.2">
      <c r="A27" t="s">
        <v>216</v>
      </c>
      <c r="B27" s="4" t="s">
        <v>217</v>
      </c>
    </row>
    <row r="28" spans="1:2" x14ac:dyDescent="0.2">
      <c r="A28" t="s">
        <v>218</v>
      </c>
      <c r="B28" s="4" t="s">
        <v>215</v>
      </c>
    </row>
    <row r="29" spans="1:2" x14ac:dyDescent="0.2">
      <c r="A29" t="s">
        <v>219</v>
      </c>
      <c r="B29" s="4" t="s">
        <v>217</v>
      </c>
    </row>
    <row r="30" spans="1:2" x14ac:dyDescent="0.2">
      <c r="A30" t="s">
        <v>220</v>
      </c>
      <c r="B30" s="4" t="s">
        <v>221</v>
      </c>
    </row>
    <row r="31" spans="1:2" x14ac:dyDescent="0.2">
      <c r="A31" t="s">
        <v>222</v>
      </c>
      <c r="B31" s="4" t="s">
        <v>204</v>
      </c>
    </row>
    <row r="32" spans="1:2" x14ac:dyDescent="0.2">
      <c r="A32" t="s">
        <v>223</v>
      </c>
      <c r="B32" s="4" t="s">
        <v>206</v>
      </c>
    </row>
    <row r="33" spans="1:2" x14ac:dyDescent="0.2">
      <c r="A33" t="s">
        <v>224</v>
      </c>
      <c r="B33" s="4" t="s">
        <v>225</v>
      </c>
    </row>
    <row r="34" spans="1:2" x14ac:dyDescent="0.2">
      <c r="A34" t="s">
        <v>226</v>
      </c>
      <c r="B34" s="4" t="s">
        <v>206</v>
      </c>
    </row>
    <row r="35" spans="1:2" x14ac:dyDescent="0.2">
      <c r="A35" t="s">
        <v>227</v>
      </c>
      <c r="B35" s="4" t="s">
        <v>213</v>
      </c>
    </row>
    <row r="36" spans="1:2" x14ac:dyDescent="0.2">
      <c r="A36" t="s">
        <v>228</v>
      </c>
      <c r="B36" s="4" t="s">
        <v>204</v>
      </c>
    </row>
    <row r="37" spans="1:2" x14ac:dyDescent="0.2">
      <c r="A37" t="s">
        <v>229</v>
      </c>
      <c r="B37" s="4" t="s">
        <v>209</v>
      </c>
    </row>
    <row r="38" spans="1:2" x14ac:dyDescent="0.2">
      <c r="A38" t="s">
        <v>230</v>
      </c>
      <c r="B38" s="4" t="s">
        <v>211</v>
      </c>
    </row>
    <row r="39" spans="1:2" x14ac:dyDescent="0.2">
      <c r="A39" t="s">
        <v>231</v>
      </c>
      <c r="B39" s="4" t="s">
        <v>213</v>
      </c>
    </row>
    <row r="40" spans="1:2" x14ac:dyDescent="0.2">
      <c r="A40" t="s">
        <v>232</v>
      </c>
      <c r="B40" s="4" t="s">
        <v>215</v>
      </c>
    </row>
    <row r="41" spans="1:2" x14ac:dyDescent="0.2">
      <c r="A41" t="s">
        <v>233</v>
      </c>
      <c r="B41" s="4" t="s">
        <v>204</v>
      </c>
    </row>
    <row r="42" spans="1:2" x14ac:dyDescent="0.2">
      <c r="A42" t="s">
        <v>234</v>
      </c>
      <c r="B42" s="4" t="s">
        <v>215</v>
      </c>
    </row>
    <row r="43" spans="1:2" x14ac:dyDescent="0.2">
      <c r="A43" t="s">
        <v>235</v>
      </c>
      <c r="B43" s="4" t="s">
        <v>204</v>
      </c>
    </row>
    <row r="44" spans="1:2" x14ac:dyDescent="0.2">
      <c r="A44" t="s">
        <v>236</v>
      </c>
      <c r="B44" s="4" t="s">
        <v>221</v>
      </c>
    </row>
    <row r="45" spans="1:2" x14ac:dyDescent="0.2">
      <c r="A45" t="s">
        <v>237</v>
      </c>
      <c r="B45" s="4" t="s">
        <v>204</v>
      </c>
    </row>
    <row r="46" spans="1:2" x14ac:dyDescent="0.2">
      <c r="A46" t="s">
        <v>238</v>
      </c>
      <c r="B46" s="4" t="s">
        <v>206</v>
      </c>
    </row>
    <row r="47" spans="1:2" x14ac:dyDescent="0.2">
      <c r="A47" t="s">
        <v>239</v>
      </c>
      <c r="B47" s="4" t="s">
        <v>225</v>
      </c>
    </row>
    <row r="48" spans="1:2" x14ac:dyDescent="0.2">
      <c r="A48" t="s">
        <v>240</v>
      </c>
      <c r="B48" s="4" t="s">
        <v>206</v>
      </c>
    </row>
    <row r="49" spans="1:2" x14ac:dyDescent="0.2">
      <c r="A49" t="s">
        <v>241</v>
      </c>
      <c r="B49" s="4" t="s">
        <v>213</v>
      </c>
    </row>
    <row r="50" spans="1:2" x14ac:dyDescent="0.2">
      <c r="A50" t="s">
        <v>242</v>
      </c>
      <c r="B50" s="4" t="s">
        <v>204</v>
      </c>
    </row>
    <row r="51" spans="1:2" x14ac:dyDescent="0.2">
      <c r="A51" t="s">
        <v>243</v>
      </c>
      <c r="B51" s="4" t="s">
        <v>209</v>
      </c>
    </row>
    <row r="52" spans="1:2" x14ac:dyDescent="0.2">
      <c r="A52" t="s">
        <v>244</v>
      </c>
      <c r="B52" s="4" t="s">
        <v>211</v>
      </c>
    </row>
    <row r="53" spans="1:2" x14ac:dyDescent="0.2">
      <c r="A53" t="s">
        <v>245</v>
      </c>
      <c r="B53" s="4" t="s">
        <v>213</v>
      </c>
    </row>
    <row r="54" spans="1:2" x14ac:dyDescent="0.2">
      <c r="A54" t="s">
        <v>246</v>
      </c>
      <c r="B54" s="4" t="s">
        <v>215</v>
      </c>
    </row>
    <row r="55" spans="1:2" x14ac:dyDescent="0.2">
      <c r="A55" t="s">
        <v>247</v>
      </c>
      <c r="B55" s="4" t="s">
        <v>204</v>
      </c>
    </row>
    <row r="56" spans="1:2" x14ac:dyDescent="0.2">
      <c r="A56" t="s">
        <v>248</v>
      </c>
      <c r="B56" s="4" t="s">
        <v>215</v>
      </c>
    </row>
    <row r="57" spans="1:2" x14ac:dyDescent="0.2">
      <c r="A57" t="s">
        <v>249</v>
      </c>
      <c r="B57" s="4" t="s">
        <v>204</v>
      </c>
    </row>
    <row r="58" spans="1:2" x14ac:dyDescent="0.2">
      <c r="A58" t="s">
        <v>250</v>
      </c>
      <c r="B58" s="4" t="s">
        <v>221</v>
      </c>
    </row>
    <row r="59" spans="1:2" x14ac:dyDescent="0.2">
      <c r="A59" t="s">
        <v>251</v>
      </c>
      <c r="B59" s="4" t="s">
        <v>204</v>
      </c>
    </row>
    <row r="60" spans="1:2" x14ac:dyDescent="0.2">
      <c r="A60" t="s">
        <v>252</v>
      </c>
      <c r="B60" s="4" t="s">
        <v>206</v>
      </c>
    </row>
    <row r="61" spans="1:2" x14ac:dyDescent="0.2">
      <c r="A61" t="s">
        <v>253</v>
      </c>
      <c r="B61" s="4" t="s">
        <v>225</v>
      </c>
    </row>
    <row r="62" spans="1:2" x14ac:dyDescent="0.2">
      <c r="A62" t="s">
        <v>254</v>
      </c>
      <c r="B62" s="4" t="s">
        <v>206</v>
      </c>
    </row>
    <row r="63" spans="1:2" x14ac:dyDescent="0.2">
      <c r="A63" t="s">
        <v>255</v>
      </c>
      <c r="B63" s="4" t="s">
        <v>213</v>
      </c>
    </row>
    <row r="64" spans="1:2" x14ac:dyDescent="0.2">
      <c r="A64" t="s">
        <v>256</v>
      </c>
      <c r="B64" s="4" t="s">
        <v>204</v>
      </c>
    </row>
    <row r="65" spans="1:2" x14ac:dyDescent="0.2">
      <c r="A65" t="s">
        <v>257</v>
      </c>
      <c r="B65" s="4" t="s">
        <v>209</v>
      </c>
    </row>
    <row r="66" spans="1:2" x14ac:dyDescent="0.2">
      <c r="A66" t="s">
        <v>258</v>
      </c>
      <c r="B66" s="4" t="s">
        <v>211</v>
      </c>
    </row>
    <row r="67" spans="1:2" x14ac:dyDescent="0.2">
      <c r="A67" t="s">
        <v>259</v>
      </c>
      <c r="B67" s="4" t="s">
        <v>213</v>
      </c>
    </row>
    <row r="68" spans="1:2" x14ac:dyDescent="0.2">
      <c r="A68" t="s">
        <v>260</v>
      </c>
      <c r="B68" s="4" t="s">
        <v>215</v>
      </c>
    </row>
    <row r="69" spans="1:2" x14ac:dyDescent="0.2">
      <c r="A69" t="s">
        <v>261</v>
      </c>
      <c r="B69" s="4" t="s">
        <v>204</v>
      </c>
    </row>
    <row r="70" spans="1:2" x14ac:dyDescent="0.2">
      <c r="A70" t="s">
        <v>262</v>
      </c>
      <c r="B70" s="4" t="s">
        <v>215</v>
      </c>
    </row>
    <row r="71" spans="1:2" x14ac:dyDescent="0.2">
      <c r="A71" t="s">
        <v>263</v>
      </c>
      <c r="B71" s="4" t="s">
        <v>204</v>
      </c>
    </row>
    <row r="72" spans="1:2" x14ac:dyDescent="0.2">
      <c r="A72" t="s">
        <v>264</v>
      </c>
      <c r="B72" s="4" t="s">
        <v>221</v>
      </c>
    </row>
    <row r="73" spans="1:2" x14ac:dyDescent="0.2">
      <c r="A73" t="s">
        <v>265</v>
      </c>
      <c r="B73" s="4" t="s">
        <v>204</v>
      </c>
    </row>
    <row r="74" spans="1:2" x14ac:dyDescent="0.2">
      <c r="A74" t="s">
        <v>266</v>
      </c>
      <c r="B74" s="4" t="s">
        <v>206</v>
      </c>
    </row>
    <row r="75" spans="1:2" x14ac:dyDescent="0.2">
      <c r="A75" t="s">
        <v>267</v>
      </c>
      <c r="B75" s="4" t="s">
        <v>225</v>
      </c>
    </row>
    <row r="76" spans="1:2" x14ac:dyDescent="0.2">
      <c r="A76" t="s">
        <v>268</v>
      </c>
      <c r="B76" s="4" t="s">
        <v>206</v>
      </c>
    </row>
    <row r="77" spans="1:2" x14ac:dyDescent="0.2">
      <c r="A77" t="s">
        <v>269</v>
      </c>
      <c r="B77" s="4" t="s">
        <v>213</v>
      </c>
    </row>
    <row r="78" spans="1:2" x14ac:dyDescent="0.2">
      <c r="A78" t="s">
        <v>270</v>
      </c>
      <c r="B78" s="4" t="s">
        <v>204</v>
      </c>
    </row>
    <row r="79" spans="1:2" x14ac:dyDescent="0.2">
      <c r="A79" t="s">
        <v>271</v>
      </c>
      <c r="B79" s="4" t="s">
        <v>209</v>
      </c>
    </row>
    <row r="80" spans="1:2" x14ac:dyDescent="0.2">
      <c r="A80" t="s">
        <v>272</v>
      </c>
      <c r="B80" s="4" t="s">
        <v>211</v>
      </c>
    </row>
    <row r="81" spans="1:2" x14ac:dyDescent="0.2">
      <c r="A81" t="s">
        <v>273</v>
      </c>
      <c r="B81" s="4" t="s">
        <v>213</v>
      </c>
    </row>
    <row r="82" spans="1:2" x14ac:dyDescent="0.2">
      <c r="A82" t="s">
        <v>274</v>
      </c>
      <c r="B82" s="4" t="s">
        <v>215</v>
      </c>
    </row>
    <row r="83" spans="1:2" x14ac:dyDescent="0.2">
      <c r="A83" t="s">
        <v>275</v>
      </c>
      <c r="B83" s="4" t="s">
        <v>204</v>
      </c>
    </row>
    <row r="84" spans="1:2" x14ac:dyDescent="0.2">
      <c r="A84" t="s">
        <v>276</v>
      </c>
      <c r="B84" s="4" t="s">
        <v>215</v>
      </c>
    </row>
    <row r="85" spans="1:2" x14ac:dyDescent="0.2">
      <c r="A85" t="s">
        <v>277</v>
      </c>
      <c r="B85" s="4" t="s">
        <v>204</v>
      </c>
    </row>
    <row r="86" spans="1:2" x14ac:dyDescent="0.2">
      <c r="A86" t="s">
        <v>278</v>
      </c>
      <c r="B86" s="4" t="s">
        <v>221</v>
      </c>
    </row>
    <row r="87" spans="1:2" x14ac:dyDescent="0.2">
      <c r="A87" t="s">
        <v>279</v>
      </c>
      <c r="B87" s="4" t="s">
        <v>204</v>
      </c>
    </row>
    <row r="88" spans="1:2" x14ac:dyDescent="0.2">
      <c r="A88" t="s">
        <v>280</v>
      </c>
      <c r="B88" s="4" t="s">
        <v>206</v>
      </c>
    </row>
    <row r="89" spans="1:2" x14ac:dyDescent="0.2">
      <c r="A89" t="s">
        <v>281</v>
      </c>
      <c r="B89" s="4" t="s">
        <v>225</v>
      </c>
    </row>
    <row r="90" spans="1:2" x14ac:dyDescent="0.2">
      <c r="A90" t="s">
        <v>282</v>
      </c>
      <c r="B90" s="4" t="s">
        <v>206</v>
      </c>
    </row>
    <row r="91" spans="1:2" x14ac:dyDescent="0.2">
      <c r="A91" t="s">
        <v>283</v>
      </c>
      <c r="B91" s="4" t="s">
        <v>213</v>
      </c>
    </row>
    <row r="92" spans="1:2" x14ac:dyDescent="0.2">
      <c r="A92" t="s">
        <v>284</v>
      </c>
      <c r="B92" s="4" t="s">
        <v>204</v>
      </c>
    </row>
    <row r="93" spans="1:2" x14ac:dyDescent="0.2">
      <c r="A93" t="s">
        <v>285</v>
      </c>
      <c r="B93" s="4" t="s">
        <v>209</v>
      </c>
    </row>
    <row r="94" spans="1:2" x14ac:dyDescent="0.2">
      <c r="A94" t="s">
        <v>286</v>
      </c>
      <c r="B94" s="4" t="s">
        <v>211</v>
      </c>
    </row>
    <row r="95" spans="1:2" x14ac:dyDescent="0.2">
      <c r="A95" t="s">
        <v>287</v>
      </c>
      <c r="B95" s="4" t="s">
        <v>213</v>
      </c>
    </row>
    <row r="96" spans="1:2" x14ac:dyDescent="0.2">
      <c r="A96" t="s">
        <v>288</v>
      </c>
      <c r="B96" s="4" t="s">
        <v>215</v>
      </c>
    </row>
    <row r="97" spans="1:2" x14ac:dyDescent="0.2">
      <c r="A97" t="s">
        <v>289</v>
      </c>
      <c r="B97" s="4" t="s">
        <v>204</v>
      </c>
    </row>
    <row r="98" spans="1:2" x14ac:dyDescent="0.2">
      <c r="A98" t="s">
        <v>290</v>
      </c>
      <c r="B98" s="4" t="s">
        <v>215</v>
      </c>
    </row>
    <row r="99" spans="1:2" x14ac:dyDescent="0.2">
      <c r="A99" t="s">
        <v>291</v>
      </c>
      <c r="B99" s="4" t="s">
        <v>204</v>
      </c>
    </row>
    <row r="100" spans="1:2" x14ac:dyDescent="0.2">
      <c r="A100" t="s">
        <v>292</v>
      </c>
      <c r="B100" s="4" t="s">
        <v>221</v>
      </c>
    </row>
    <row r="101" spans="1:2" x14ac:dyDescent="0.2">
      <c r="A101" t="s">
        <v>293</v>
      </c>
      <c r="B101" s="4" t="s">
        <v>204</v>
      </c>
    </row>
    <row r="102" spans="1:2" x14ac:dyDescent="0.2">
      <c r="A102" t="s">
        <v>294</v>
      </c>
      <c r="B102" s="4" t="s">
        <v>206</v>
      </c>
    </row>
    <row r="103" spans="1:2" x14ac:dyDescent="0.2">
      <c r="A103" t="s">
        <v>295</v>
      </c>
      <c r="B103" s="4" t="s">
        <v>225</v>
      </c>
    </row>
    <row r="104" spans="1:2" x14ac:dyDescent="0.2">
      <c r="A104" t="s">
        <v>296</v>
      </c>
      <c r="B104" s="4" t="s">
        <v>206</v>
      </c>
    </row>
    <row r="105" spans="1:2" x14ac:dyDescent="0.2">
      <c r="A105" t="s">
        <v>297</v>
      </c>
      <c r="B105" s="4" t="s">
        <v>213</v>
      </c>
    </row>
    <row r="106" spans="1:2" x14ac:dyDescent="0.2">
      <c r="A106" t="s">
        <v>298</v>
      </c>
      <c r="B106" s="4" t="s">
        <v>204</v>
      </c>
    </row>
    <row r="107" spans="1:2" x14ac:dyDescent="0.2">
      <c r="A107" t="s">
        <v>299</v>
      </c>
      <c r="B107" s="4" t="s">
        <v>209</v>
      </c>
    </row>
    <row r="108" spans="1:2" x14ac:dyDescent="0.2">
      <c r="A108" t="s">
        <v>300</v>
      </c>
      <c r="B108" s="4" t="s">
        <v>301</v>
      </c>
    </row>
    <row r="109" spans="1:2" x14ac:dyDescent="0.2">
      <c r="A109" t="s">
        <v>302</v>
      </c>
      <c r="B109" s="4" t="s">
        <v>301</v>
      </c>
    </row>
    <row r="110" spans="1:2" x14ac:dyDescent="0.2">
      <c r="A110" t="s">
        <v>303</v>
      </c>
      <c r="B110" s="4" t="s">
        <v>215</v>
      </c>
    </row>
    <row r="111" spans="1:2" x14ac:dyDescent="0.2">
      <c r="A111" t="s">
        <v>304</v>
      </c>
      <c r="B111" s="4" t="s">
        <v>204</v>
      </c>
    </row>
    <row r="112" spans="1:2" x14ac:dyDescent="0.2">
      <c r="A112" t="s">
        <v>305</v>
      </c>
      <c r="B112" s="4" t="s">
        <v>301</v>
      </c>
    </row>
    <row r="113" spans="1:2" x14ac:dyDescent="0.2">
      <c r="A113" t="s">
        <v>306</v>
      </c>
      <c r="B113" s="4" t="s">
        <v>301</v>
      </c>
    </row>
    <row r="114" spans="1:2" x14ac:dyDescent="0.2">
      <c r="A114" t="s">
        <v>307</v>
      </c>
      <c r="B114" s="4" t="s">
        <v>301</v>
      </c>
    </row>
    <row r="115" spans="1:2" x14ac:dyDescent="0.2">
      <c r="A115" t="s">
        <v>308</v>
      </c>
      <c r="B115" s="4" t="s">
        <v>301</v>
      </c>
    </row>
    <row r="116" spans="1:2" x14ac:dyDescent="0.2">
      <c r="A116" t="s">
        <v>309</v>
      </c>
      <c r="B116" s="4" t="s">
        <v>301</v>
      </c>
    </row>
    <row r="117" spans="1:2" x14ac:dyDescent="0.2">
      <c r="A117" t="s">
        <v>310</v>
      </c>
      <c r="B117" s="4" t="s">
        <v>301</v>
      </c>
    </row>
    <row r="118" spans="1:2" x14ac:dyDescent="0.2">
      <c r="A118" t="s">
        <v>311</v>
      </c>
      <c r="B118" s="4" t="s">
        <v>301</v>
      </c>
    </row>
    <row r="119" spans="1:2" x14ac:dyDescent="0.2">
      <c r="A119" t="s">
        <v>312</v>
      </c>
      <c r="B119" s="4" t="s">
        <v>301</v>
      </c>
    </row>
    <row r="120" spans="1:2" x14ac:dyDescent="0.2">
      <c r="A120" t="s">
        <v>313</v>
      </c>
      <c r="B120" s="4" t="s">
        <v>204</v>
      </c>
    </row>
    <row r="121" spans="1:2" x14ac:dyDescent="0.2">
      <c r="A121" t="s">
        <v>314</v>
      </c>
      <c r="B121" s="4" t="s">
        <v>209</v>
      </c>
    </row>
    <row r="122" spans="1:2" x14ac:dyDescent="0.2">
      <c r="A122" t="s">
        <v>315</v>
      </c>
      <c r="B122" s="4" t="s">
        <v>301</v>
      </c>
    </row>
    <row r="123" spans="1:2" x14ac:dyDescent="0.2">
      <c r="A123" t="s">
        <v>316</v>
      </c>
      <c r="B123" s="4" t="s">
        <v>301</v>
      </c>
    </row>
    <row r="124" spans="1:2" x14ac:dyDescent="0.2">
      <c r="A124" t="s">
        <v>317</v>
      </c>
      <c r="B124" s="4" t="s">
        <v>215</v>
      </c>
    </row>
    <row r="125" spans="1:2" x14ac:dyDescent="0.2">
      <c r="A125" t="s">
        <v>318</v>
      </c>
      <c r="B125" s="4" t="s">
        <v>204</v>
      </c>
    </row>
    <row r="126" spans="1:2" x14ac:dyDescent="0.2">
      <c r="A126" t="s">
        <v>319</v>
      </c>
      <c r="B126" s="4" t="s">
        <v>301</v>
      </c>
    </row>
    <row r="127" spans="1:2" x14ac:dyDescent="0.2">
      <c r="A127" t="s">
        <v>320</v>
      </c>
      <c r="B127" s="4" t="s">
        <v>301</v>
      </c>
    </row>
    <row r="128" spans="1:2" x14ac:dyDescent="0.2">
      <c r="A128" t="s">
        <v>321</v>
      </c>
      <c r="B128" s="4" t="s">
        <v>301</v>
      </c>
    </row>
    <row r="129" spans="1:2" x14ac:dyDescent="0.2">
      <c r="A129" t="s">
        <v>322</v>
      </c>
      <c r="B129" s="4" t="s">
        <v>301</v>
      </c>
    </row>
    <row r="130" spans="1:2" x14ac:dyDescent="0.2">
      <c r="A130" t="s">
        <v>323</v>
      </c>
      <c r="B130" s="4" t="s">
        <v>301</v>
      </c>
    </row>
    <row r="131" spans="1:2" x14ac:dyDescent="0.2">
      <c r="A131" t="s">
        <v>324</v>
      </c>
      <c r="B131" s="4" t="s">
        <v>301</v>
      </c>
    </row>
    <row r="132" spans="1:2" x14ac:dyDescent="0.2">
      <c r="A132" t="s">
        <v>325</v>
      </c>
      <c r="B132" s="4" t="s">
        <v>301</v>
      </c>
    </row>
    <row r="133" spans="1:2" x14ac:dyDescent="0.2">
      <c r="A133" t="s">
        <v>326</v>
      </c>
      <c r="B133" s="4" t="s">
        <v>301</v>
      </c>
    </row>
    <row r="134" spans="1:2" x14ac:dyDescent="0.2">
      <c r="A134" t="s">
        <v>327</v>
      </c>
      <c r="B134" s="4" t="s">
        <v>204</v>
      </c>
    </row>
    <row r="135" spans="1:2" x14ac:dyDescent="0.2">
      <c r="A135" t="s">
        <v>328</v>
      </c>
      <c r="B135" s="4" t="s">
        <v>209</v>
      </c>
    </row>
    <row r="136" spans="1:2" x14ac:dyDescent="0.2">
      <c r="A136" t="s">
        <v>329</v>
      </c>
      <c r="B136" s="4" t="s">
        <v>301</v>
      </c>
    </row>
    <row r="137" spans="1:2" x14ac:dyDescent="0.2">
      <c r="A137" t="s">
        <v>330</v>
      </c>
      <c r="B137" s="4" t="s">
        <v>301</v>
      </c>
    </row>
    <row r="138" spans="1:2" x14ac:dyDescent="0.2">
      <c r="A138" t="s">
        <v>331</v>
      </c>
      <c r="B138" s="4" t="s">
        <v>215</v>
      </c>
    </row>
    <row r="139" spans="1:2" x14ac:dyDescent="0.2">
      <c r="A139" t="s">
        <v>332</v>
      </c>
      <c r="B139" s="4" t="s">
        <v>204</v>
      </c>
    </row>
    <row r="140" spans="1:2" x14ac:dyDescent="0.2">
      <c r="A140" t="s">
        <v>333</v>
      </c>
      <c r="B140" s="4" t="s">
        <v>301</v>
      </c>
    </row>
    <row r="141" spans="1:2" x14ac:dyDescent="0.2">
      <c r="A141" t="s">
        <v>334</v>
      </c>
      <c r="B141" s="4" t="s">
        <v>301</v>
      </c>
    </row>
    <row r="142" spans="1:2" x14ac:dyDescent="0.2">
      <c r="A142" t="s">
        <v>335</v>
      </c>
      <c r="B142" s="4" t="s">
        <v>301</v>
      </c>
    </row>
    <row r="143" spans="1:2" x14ac:dyDescent="0.2">
      <c r="A143" t="s">
        <v>336</v>
      </c>
      <c r="B143" s="4" t="s">
        <v>301</v>
      </c>
    </row>
    <row r="144" spans="1:2" x14ac:dyDescent="0.2">
      <c r="A144" t="s">
        <v>337</v>
      </c>
      <c r="B144" s="4" t="s">
        <v>301</v>
      </c>
    </row>
    <row r="145" spans="1:2" x14ac:dyDescent="0.2">
      <c r="A145" t="s">
        <v>338</v>
      </c>
      <c r="B145" s="4" t="s">
        <v>301</v>
      </c>
    </row>
    <row r="146" spans="1:2" x14ac:dyDescent="0.2">
      <c r="A146" t="s">
        <v>339</v>
      </c>
      <c r="B146" s="4" t="s">
        <v>301</v>
      </c>
    </row>
    <row r="147" spans="1:2" x14ac:dyDescent="0.2">
      <c r="A147" t="s">
        <v>340</v>
      </c>
      <c r="B147" s="4" t="s">
        <v>301</v>
      </c>
    </row>
    <row r="148" spans="1:2" x14ac:dyDescent="0.2">
      <c r="A148" t="s">
        <v>341</v>
      </c>
      <c r="B148" s="4" t="s">
        <v>206</v>
      </c>
    </row>
    <row r="149" spans="1:2" x14ac:dyDescent="0.2">
      <c r="A149" t="s">
        <v>342</v>
      </c>
      <c r="B149" s="4" t="s">
        <v>343</v>
      </c>
    </row>
    <row r="150" spans="1:2" x14ac:dyDescent="0.2">
      <c r="A150" t="s">
        <v>344</v>
      </c>
      <c r="B150" s="4" t="s">
        <v>206</v>
      </c>
    </row>
    <row r="151" spans="1:2" x14ac:dyDescent="0.2">
      <c r="A151" t="s">
        <v>345</v>
      </c>
      <c r="B151" s="4" t="s">
        <v>206</v>
      </c>
    </row>
    <row r="152" spans="1:2" x14ac:dyDescent="0.2">
      <c r="A152" t="s">
        <v>346</v>
      </c>
      <c r="B152" s="4" t="s">
        <v>343</v>
      </c>
    </row>
    <row r="153" spans="1:2" x14ac:dyDescent="0.2">
      <c r="A153" t="s">
        <v>347</v>
      </c>
      <c r="B153" s="4" t="s">
        <v>206</v>
      </c>
    </row>
    <row r="154" spans="1:2" x14ac:dyDescent="0.2">
      <c r="A154" t="s">
        <v>348</v>
      </c>
      <c r="B154" s="4" t="s">
        <v>206</v>
      </c>
    </row>
    <row r="155" spans="1:2" x14ac:dyDescent="0.2">
      <c r="A155" t="s">
        <v>349</v>
      </c>
      <c r="B155" s="4" t="s">
        <v>343</v>
      </c>
    </row>
    <row r="156" spans="1:2" x14ac:dyDescent="0.2">
      <c r="A156" t="s">
        <v>350</v>
      </c>
      <c r="B156" s="4" t="s">
        <v>206</v>
      </c>
    </row>
    <row r="157" spans="1:2" x14ac:dyDescent="0.2">
      <c r="A157" t="s">
        <v>351</v>
      </c>
      <c r="B157" s="4" t="s">
        <v>206</v>
      </c>
    </row>
    <row r="158" spans="1:2" x14ac:dyDescent="0.2">
      <c r="A158" t="s">
        <v>352</v>
      </c>
      <c r="B158" s="4" t="s">
        <v>343</v>
      </c>
    </row>
    <row r="159" spans="1:2" x14ac:dyDescent="0.2">
      <c r="A159" t="s">
        <v>353</v>
      </c>
      <c r="B159" s="4" t="s">
        <v>206</v>
      </c>
    </row>
    <row r="160" spans="1:2" x14ac:dyDescent="0.2">
      <c r="A160" t="s">
        <v>354</v>
      </c>
      <c r="B160" s="4" t="s">
        <v>206</v>
      </c>
    </row>
    <row r="161" spans="1:2" x14ac:dyDescent="0.2">
      <c r="A161" t="s">
        <v>355</v>
      </c>
      <c r="B161" s="4" t="s">
        <v>343</v>
      </c>
    </row>
    <row r="162" spans="1:2" x14ac:dyDescent="0.2">
      <c r="A162" t="s">
        <v>356</v>
      </c>
      <c r="B162" s="4" t="s">
        <v>206</v>
      </c>
    </row>
    <row r="163" spans="1:2" x14ac:dyDescent="0.2">
      <c r="A163" t="s">
        <v>357</v>
      </c>
      <c r="B163" s="4" t="s">
        <v>206</v>
      </c>
    </row>
    <row r="164" spans="1:2" x14ac:dyDescent="0.2">
      <c r="A164" t="s">
        <v>358</v>
      </c>
      <c r="B164" s="4" t="s">
        <v>343</v>
      </c>
    </row>
    <row r="165" spans="1:2" x14ac:dyDescent="0.2">
      <c r="A165" t="s">
        <v>359</v>
      </c>
      <c r="B165" s="4" t="s">
        <v>206</v>
      </c>
    </row>
    <row r="166" spans="1:2" x14ac:dyDescent="0.2">
      <c r="A166" t="s">
        <v>360</v>
      </c>
      <c r="B166" s="4" t="s">
        <v>206</v>
      </c>
    </row>
    <row r="167" spans="1:2" x14ac:dyDescent="0.2">
      <c r="A167" t="s">
        <v>361</v>
      </c>
      <c r="B167" s="4" t="s">
        <v>343</v>
      </c>
    </row>
    <row r="168" spans="1:2" x14ac:dyDescent="0.2">
      <c r="A168" t="s">
        <v>362</v>
      </c>
      <c r="B168" s="4" t="s">
        <v>206</v>
      </c>
    </row>
    <row r="169" spans="1:2" x14ac:dyDescent="0.2">
      <c r="A169" t="s">
        <v>363</v>
      </c>
      <c r="B169" s="4" t="s">
        <v>206</v>
      </c>
    </row>
    <row r="170" spans="1:2" x14ac:dyDescent="0.2">
      <c r="A170" t="s">
        <v>364</v>
      </c>
      <c r="B170" s="4" t="s">
        <v>343</v>
      </c>
    </row>
    <row r="171" spans="1:2" x14ac:dyDescent="0.2">
      <c r="A171" t="s">
        <v>365</v>
      </c>
      <c r="B171" s="4" t="s">
        <v>206</v>
      </c>
    </row>
    <row r="172" spans="1:2" x14ac:dyDescent="0.2">
      <c r="A172" t="s">
        <v>366</v>
      </c>
      <c r="B172" s="4" t="s">
        <v>206</v>
      </c>
    </row>
    <row r="173" spans="1:2" x14ac:dyDescent="0.2">
      <c r="A173" t="s">
        <v>367</v>
      </c>
      <c r="B173" s="4" t="s">
        <v>343</v>
      </c>
    </row>
    <row r="174" spans="1:2" x14ac:dyDescent="0.2">
      <c r="A174" t="s">
        <v>368</v>
      </c>
      <c r="B174" s="4" t="s">
        <v>206</v>
      </c>
    </row>
    <row r="175" spans="1:2" x14ac:dyDescent="0.2">
      <c r="A175" t="s">
        <v>369</v>
      </c>
      <c r="B175" s="4" t="s">
        <v>206</v>
      </c>
    </row>
    <row r="176" spans="1:2" x14ac:dyDescent="0.2">
      <c r="A176" t="s">
        <v>370</v>
      </c>
      <c r="B176" s="4" t="s">
        <v>343</v>
      </c>
    </row>
    <row r="177" spans="1:2" x14ac:dyDescent="0.2">
      <c r="A177" t="s">
        <v>371</v>
      </c>
      <c r="B177" s="4" t="s">
        <v>206</v>
      </c>
    </row>
    <row r="178" spans="1:2" x14ac:dyDescent="0.2">
      <c r="A178" t="s">
        <v>372</v>
      </c>
      <c r="B178" s="4" t="s">
        <v>206</v>
      </c>
    </row>
    <row r="179" spans="1:2" x14ac:dyDescent="0.2">
      <c r="A179" t="s">
        <v>373</v>
      </c>
      <c r="B179" s="4" t="s">
        <v>343</v>
      </c>
    </row>
    <row r="180" spans="1:2" x14ac:dyDescent="0.2">
      <c r="A180" t="s">
        <v>374</v>
      </c>
      <c r="B180" s="4" t="s">
        <v>206</v>
      </c>
    </row>
    <row r="181" spans="1:2" x14ac:dyDescent="0.2">
      <c r="A181" t="s">
        <v>375</v>
      </c>
      <c r="B181" s="4" t="s">
        <v>206</v>
      </c>
    </row>
    <row r="182" spans="1:2" x14ac:dyDescent="0.2">
      <c r="A182" t="s">
        <v>376</v>
      </c>
      <c r="B182" s="4" t="s">
        <v>343</v>
      </c>
    </row>
    <row r="183" spans="1:2" x14ac:dyDescent="0.2">
      <c r="A183" t="s">
        <v>377</v>
      </c>
      <c r="B183" s="4" t="s">
        <v>206</v>
      </c>
    </row>
    <row r="184" spans="1:2" x14ac:dyDescent="0.2">
      <c r="A184" t="s">
        <v>378</v>
      </c>
      <c r="B184" s="4" t="s">
        <v>206</v>
      </c>
    </row>
    <row r="185" spans="1:2" x14ac:dyDescent="0.2">
      <c r="A185" t="s">
        <v>379</v>
      </c>
      <c r="B185" s="4" t="s">
        <v>343</v>
      </c>
    </row>
    <row r="186" spans="1:2" x14ac:dyDescent="0.2">
      <c r="A186" t="s">
        <v>380</v>
      </c>
      <c r="B186" s="4" t="s">
        <v>206</v>
      </c>
    </row>
    <row r="187" spans="1:2" x14ac:dyDescent="0.2">
      <c r="A187" t="s">
        <v>381</v>
      </c>
      <c r="B187" s="4" t="s">
        <v>206</v>
      </c>
    </row>
    <row r="188" spans="1:2" x14ac:dyDescent="0.2">
      <c r="A188" t="s">
        <v>382</v>
      </c>
      <c r="B188" s="4" t="s">
        <v>343</v>
      </c>
    </row>
    <row r="189" spans="1:2" x14ac:dyDescent="0.2">
      <c r="A189" t="s">
        <v>383</v>
      </c>
      <c r="B189" s="4" t="s">
        <v>206</v>
      </c>
    </row>
    <row r="190" spans="1:2" x14ac:dyDescent="0.2">
      <c r="A190" t="s">
        <v>384</v>
      </c>
      <c r="B190" s="4" t="s">
        <v>206</v>
      </c>
    </row>
    <row r="191" spans="1:2" x14ac:dyDescent="0.2">
      <c r="A191" t="s">
        <v>385</v>
      </c>
      <c r="B191" s="4" t="s">
        <v>343</v>
      </c>
    </row>
    <row r="192" spans="1:2" x14ac:dyDescent="0.2">
      <c r="A192" t="s">
        <v>386</v>
      </c>
      <c r="B192" s="4" t="s">
        <v>206</v>
      </c>
    </row>
    <row r="193" spans="1:2" x14ac:dyDescent="0.2">
      <c r="A193" t="s">
        <v>387</v>
      </c>
      <c r="B193" s="4" t="s">
        <v>206</v>
      </c>
    </row>
    <row r="194" spans="1:2" x14ac:dyDescent="0.2">
      <c r="A194" t="s">
        <v>388</v>
      </c>
      <c r="B194" s="4" t="s">
        <v>343</v>
      </c>
    </row>
    <row r="195" spans="1:2" x14ac:dyDescent="0.2">
      <c r="A195" t="s">
        <v>389</v>
      </c>
      <c r="B195" s="4" t="s">
        <v>206</v>
      </c>
    </row>
    <row r="196" spans="1:2" x14ac:dyDescent="0.2">
      <c r="A196" t="s">
        <v>390</v>
      </c>
      <c r="B196" s="4" t="s">
        <v>206</v>
      </c>
    </row>
    <row r="197" spans="1:2" x14ac:dyDescent="0.2">
      <c r="A197" t="s">
        <v>391</v>
      </c>
      <c r="B197" s="4" t="s">
        <v>343</v>
      </c>
    </row>
    <row r="198" spans="1:2" x14ac:dyDescent="0.2">
      <c r="A198" t="s">
        <v>392</v>
      </c>
      <c r="B198" s="4">
        <v>0.1</v>
      </c>
    </row>
    <row r="199" spans="1:2" x14ac:dyDescent="0.2">
      <c r="A199" t="s">
        <v>393</v>
      </c>
      <c r="B199" s="4" t="s">
        <v>206</v>
      </c>
    </row>
    <row r="200" spans="1:2" x14ac:dyDescent="0.2">
      <c r="A200" t="s">
        <v>394</v>
      </c>
      <c r="B200" s="4" t="s">
        <v>343</v>
      </c>
    </row>
    <row r="201" spans="1:2" x14ac:dyDescent="0.2">
      <c r="A201" t="s">
        <v>395</v>
      </c>
      <c r="B201" s="4" t="s">
        <v>206</v>
      </c>
    </row>
    <row r="202" spans="1:2" x14ac:dyDescent="0.2">
      <c r="A202" t="s">
        <v>396</v>
      </c>
      <c r="B202" s="4" t="s">
        <v>206</v>
      </c>
    </row>
    <row r="203" spans="1:2" x14ac:dyDescent="0.2">
      <c r="A203" t="s">
        <v>397</v>
      </c>
      <c r="B203" s="4" t="s">
        <v>343</v>
      </c>
    </row>
    <row r="204" spans="1:2" x14ac:dyDescent="0.2">
      <c r="A204" t="s">
        <v>398</v>
      </c>
      <c r="B204" s="4" t="s">
        <v>206</v>
      </c>
    </row>
    <row r="205" spans="1:2" x14ac:dyDescent="0.2">
      <c r="A205" t="s">
        <v>399</v>
      </c>
      <c r="B205" s="4" t="s">
        <v>206</v>
      </c>
    </row>
    <row r="206" spans="1:2" x14ac:dyDescent="0.2">
      <c r="A206" t="s">
        <v>400</v>
      </c>
      <c r="B206" s="4" t="s">
        <v>343</v>
      </c>
    </row>
    <row r="207" spans="1:2" x14ac:dyDescent="0.2">
      <c r="A207" t="s">
        <v>401</v>
      </c>
      <c r="B207" s="4" t="s">
        <v>206</v>
      </c>
    </row>
    <row r="208" spans="1:2" x14ac:dyDescent="0.2">
      <c r="A208" t="s">
        <v>402</v>
      </c>
      <c r="B208" s="4" t="s">
        <v>206</v>
      </c>
    </row>
    <row r="209" spans="1:2" x14ac:dyDescent="0.2">
      <c r="A209" t="s">
        <v>403</v>
      </c>
      <c r="B209" s="4" t="s">
        <v>343</v>
      </c>
    </row>
    <row r="210" spans="1:2" x14ac:dyDescent="0.2">
      <c r="A210" t="s">
        <v>404</v>
      </c>
      <c r="B210" s="4" t="s">
        <v>206</v>
      </c>
    </row>
    <row r="211" spans="1:2" x14ac:dyDescent="0.2">
      <c r="A211" t="s">
        <v>405</v>
      </c>
      <c r="B211" s="4" t="s">
        <v>206</v>
      </c>
    </row>
    <row r="212" spans="1:2" x14ac:dyDescent="0.2">
      <c r="A212" t="s">
        <v>406</v>
      </c>
      <c r="B212" s="4" t="s">
        <v>343</v>
      </c>
    </row>
    <row r="213" spans="1:2" x14ac:dyDescent="0.2">
      <c r="A213" t="s">
        <v>407</v>
      </c>
      <c r="B213" s="4" t="s">
        <v>206</v>
      </c>
    </row>
    <row r="214" spans="1:2" x14ac:dyDescent="0.2">
      <c r="A214" t="s">
        <v>408</v>
      </c>
      <c r="B214" s="4" t="s">
        <v>206</v>
      </c>
    </row>
    <row r="215" spans="1:2" x14ac:dyDescent="0.2">
      <c r="A215" t="s">
        <v>409</v>
      </c>
      <c r="B215" s="4" t="s">
        <v>343</v>
      </c>
    </row>
    <row r="216" spans="1:2" x14ac:dyDescent="0.2">
      <c r="A216" t="s">
        <v>410</v>
      </c>
      <c r="B216" s="4" t="s">
        <v>206</v>
      </c>
    </row>
    <row r="217" spans="1:2" x14ac:dyDescent="0.2">
      <c r="A217" t="s">
        <v>411</v>
      </c>
      <c r="B217" s="4" t="s">
        <v>206</v>
      </c>
    </row>
    <row r="218" spans="1:2" x14ac:dyDescent="0.2">
      <c r="A218" t="s">
        <v>412</v>
      </c>
      <c r="B218" s="4" t="s">
        <v>343</v>
      </c>
    </row>
    <row r="219" spans="1:2" x14ac:dyDescent="0.2">
      <c r="A219" t="s">
        <v>413</v>
      </c>
      <c r="B219" s="4" t="s">
        <v>206</v>
      </c>
    </row>
    <row r="220" spans="1:2" x14ac:dyDescent="0.2">
      <c r="A220" t="s">
        <v>414</v>
      </c>
      <c r="B220" s="4" t="s">
        <v>206</v>
      </c>
    </row>
    <row r="221" spans="1:2" x14ac:dyDescent="0.2">
      <c r="A221" t="s">
        <v>415</v>
      </c>
      <c r="B221" s="4" t="s">
        <v>343</v>
      </c>
    </row>
    <row r="222" spans="1:2" x14ac:dyDescent="0.2">
      <c r="A222" t="s">
        <v>416</v>
      </c>
      <c r="B222" s="4" t="s">
        <v>206</v>
      </c>
    </row>
    <row r="223" spans="1:2" x14ac:dyDescent="0.2">
      <c r="A223" t="s">
        <v>417</v>
      </c>
      <c r="B223" s="4" t="s">
        <v>206</v>
      </c>
    </row>
    <row r="224" spans="1:2" x14ac:dyDescent="0.2">
      <c r="A224" t="s">
        <v>418</v>
      </c>
      <c r="B224" s="4" t="s">
        <v>343</v>
      </c>
    </row>
    <row r="225" spans="1:2" x14ac:dyDescent="0.2">
      <c r="A225" t="s">
        <v>419</v>
      </c>
      <c r="B225" s="4" t="s">
        <v>206</v>
      </c>
    </row>
    <row r="226" spans="1:2" x14ac:dyDescent="0.2">
      <c r="A226" t="s">
        <v>420</v>
      </c>
      <c r="B226" s="4" t="s">
        <v>206</v>
      </c>
    </row>
    <row r="227" spans="1:2" x14ac:dyDescent="0.2">
      <c r="A227" t="s">
        <v>421</v>
      </c>
      <c r="B227" s="4" t="s">
        <v>343</v>
      </c>
    </row>
    <row r="228" spans="1:2" x14ac:dyDescent="0.2">
      <c r="A228" t="s">
        <v>422</v>
      </c>
      <c r="B228" s="4" t="s">
        <v>206</v>
      </c>
    </row>
    <row r="229" spans="1:2" x14ac:dyDescent="0.2">
      <c r="A229" t="s">
        <v>423</v>
      </c>
      <c r="B229" s="4" t="s">
        <v>206</v>
      </c>
    </row>
    <row r="230" spans="1:2" x14ac:dyDescent="0.2">
      <c r="A230" t="s">
        <v>424</v>
      </c>
      <c r="B230" s="4" t="s">
        <v>343</v>
      </c>
    </row>
    <row r="231" spans="1:2" x14ac:dyDescent="0.2">
      <c r="A231" t="s">
        <v>425</v>
      </c>
      <c r="B231" s="4" t="s">
        <v>206</v>
      </c>
    </row>
    <row r="232" spans="1:2" x14ac:dyDescent="0.2">
      <c r="A232" t="s">
        <v>426</v>
      </c>
      <c r="B232" s="4" t="s">
        <v>206</v>
      </c>
    </row>
    <row r="233" spans="1:2" x14ac:dyDescent="0.2">
      <c r="A233" t="s">
        <v>427</v>
      </c>
      <c r="B233" s="4" t="s">
        <v>343</v>
      </c>
    </row>
    <row r="234" spans="1:2" x14ac:dyDescent="0.2">
      <c r="A234" t="s">
        <v>428</v>
      </c>
      <c r="B234" s="4" t="s">
        <v>206</v>
      </c>
    </row>
    <row r="235" spans="1:2" x14ac:dyDescent="0.2">
      <c r="A235" t="s">
        <v>429</v>
      </c>
      <c r="B235" s="4" t="s">
        <v>206</v>
      </c>
    </row>
    <row r="236" spans="1:2" x14ac:dyDescent="0.2">
      <c r="A236" t="s">
        <v>430</v>
      </c>
      <c r="B236" s="4" t="s">
        <v>343</v>
      </c>
    </row>
    <row r="237" spans="1:2" x14ac:dyDescent="0.2">
      <c r="A237" t="s">
        <v>431</v>
      </c>
      <c r="B237" s="4" t="s">
        <v>206</v>
      </c>
    </row>
    <row r="238" spans="1:2" x14ac:dyDescent="0.2">
      <c r="A238" t="s">
        <v>432</v>
      </c>
      <c r="B238" s="4" t="s">
        <v>206</v>
      </c>
    </row>
    <row r="239" spans="1:2" x14ac:dyDescent="0.2">
      <c r="A239" t="s">
        <v>433</v>
      </c>
      <c r="B239" s="4" t="s">
        <v>343</v>
      </c>
    </row>
    <row r="240" spans="1:2" x14ac:dyDescent="0.2">
      <c r="A240" t="s">
        <v>434</v>
      </c>
      <c r="B240" s="4" t="s">
        <v>206</v>
      </c>
    </row>
    <row r="241" spans="1:2" x14ac:dyDescent="0.2">
      <c r="A241" t="s">
        <v>435</v>
      </c>
      <c r="B241" s="4" t="s">
        <v>206</v>
      </c>
    </row>
    <row r="242" spans="1:2" x14ac:dyDescent="0.2">
      <c r="A242" t="s">
        <v>436</v>
      </c>
      <c r="B242" s="4" t="s">
        <v>343</v>
      </c>
    </row>
    <row r="243" spans="1:2" x14ac:dyDescent="0.2">
      <c r="A243" t="s">
        <v>437</v>
      </c>
      <c r="B243" s="4" t="s">
        <v>206</v>
      </c>
    </row>
    <row r="244" spans="1:2" x14ac:dyDescent="0.2">
      <c r="A244" t="s">
        <v>438</v>
      </c>
      <c r="B244" s="4" t="s">
        <v>206</v>
      </c>
    </row>
    <row r="245" spans="1:2" x14ac:dyDescent="0.2">
      <c r="A245" t="s">
        <v>439</v>
      </c>
      <c r="B245" s="4" t="s">
        <v>343</v>
      </c>
    </row>
    <row r="246" spans="1:2" x14ac:dyDescent="0.2">
      <c r="A246" t="s">
        <v>440</v>
      </c>
      <c r="B246" s="4" t="s">
        <v>206</v>
      </c>
    </row>
    <row r="247" spans="1:2" x14ac:dyDescent="0.2">
      <c r="A247" t="s">
        <v>441</v>
      </c>
      <c r="B247" s="4" t="s">
        <v>206</v>
      </c>
    </row>
    <row r="248" spans="1:2" x14ac:dyDescent="0.2">
      <c r="A248" t="s">
        <v>442</v>
      </c>
      <c r="B248" s="4" t="s">
        <v>343</v>
      </c>
    </row>
    <row r="249" spans="1:2" x14ac:dyDescent="0.2">
      <c r="A249" t="s">
        <v>443</v>
      </c>
      <c r="B249" s="4" t="s">
        <v>206</v>
      </c>
    </row>
    <row r="250" spans="1:2" x14ac:dyDescent="0.2">
      <c r="A250" t="s">
        <v>444</v>
      </c>
      <c r="B250" s="4" t="s">
        <v>206</v>
      </c>
    </row>
    <row r="251" spans="1:2" x14ac:dyDescent="0.2">
      <c r="A251" t="s">
        <v>445</v>
      </c>
      <c r="B251" s="4" t="s">
        <v>343</v>
      </c>
    </row>
    <row r="252" spans="1:2" x14ac:dyDescent="0.2">
      <c r="A252" t="s">
        <v>446</v>
      </c>
      <c r="B252" s="4" t="s">
        <v>206</v>
      </c>
    </row>
    <row r="253" spans="1:2" x14ac:dyDescent="0.2">
      <c r="A253" t="s">
        <v>447</v>
      </c>
      <c r="B253" s="4" t="s">
        <v>206</v>
      </c>
    </row>
    <row r="254" spans="1:2" x14ac:dyDescent="0.2">
      <c r="A254" t="s">
        <v>448</v>
      </c>
      <c r="B254" s="4" t="s">
        <v>343</v>
      </c>
    </row>
    <row r="255" spans="1:2" x14ac:dyDescent="0.2">
      <c r="A255" t="s">
        <v>449</v>
      </c>
      <c r="B255" s="4" t="s">
        <v>206</v>
      </c>
    </row>
    <row r="256" spans="1:2" x14ac:dyDescent="0.2">
      <c r="A256" t="s">
        <v>450</v>
      </c>
      <c r="B256" s="4" t="s">
        <v>301</v>
      </c>
    </row>
    <row r="257" spans="1:2" x14ac:dyDescent="0.2">
      <c r="A257" t="s">
        <v>451</v>
      </c>
      <c r="B257" s="4" t="s">
        <v>343</v>
      </c>
    </row>
    <row r="258" spans="1:2" x14ac:dyDescent="0.2">
      <c r="A258" t="s">
        <v>452</v>
      </c>
      <c r="B258" s="4" t="s">
        <v>301</v>
      </c>
    </row>
    <row r="259" spans="1:2" x14ac:dyDescent="0.2">
      <c r="A259" t="s">
        <v>453</v>
      </c>
      <c r="B259" s="4" t="s">
        <v>301</v>
      </c>
    </row>
    <row r="260" spans="1:2" x14ac:dyDescent="0.2">
      <c r="A260" t="s">
        <v>454</v>
      </c>
      <c r="B260" s="4" t="s">
        <v>343</v>
      </c>
    </row>
    <row r="261" spans="1:2" x14ac:dyDescent="0.2">
      <c r="A261" t="s">
        <v>455</v>
      </c>
      <c r="B261" s="4" t="s">
        <v>301</v>
      </c>
    </row>
    <row r="262" spans="1:2" x14ac:dyDescent="0.2">
      <c r="A262" t="s">
        <v>450</v>
      </c>
      <c r="B262" s="4" t="s">
        <v>206</v>
      </c>
    </row>
    <row r="263" spans="1:2" x14ac:dyDescent="0.2">
      <c r="A263" t="s">
        <v>451</v>
      </c>
      <c r="B263" s="4" t="s">
        <v>343</v>
      </c>
    </row>
    <row r="264" spans="1:2" x14ac:dyDescent="0.2">
      <c r="A264" t="s">
        <v>452</v>
      </c>
      <c r="B264" s="4" t="s">
        <v>206</v>
      </c>
    </row>
    <row r="265" spans="1:2" x14ac:dyDescent="0.2">
      <c r="A265" t="s">
        <v>453</v>
      </c>
      <c r="B265" s="4" t="s">
        <v>206</v>
      </c>
    </row>
    <row r="266" spans="1:2" x14ac:dyDescent="0.2">
      <c r="A266" t="s">
        <v>454</v>
      </c>
      <c r="B266" s="4" t="s">
        <v>343</v>
      </c>
    </row>
    <row r="267" spans="1:2" x14ac:dyDescent="0.2">
      <c r="A267" t="s">
        <v>455</v>
      </c>
      <c r="B267" s="4" t="s">
        <v>206</v>
      </c>
    </row>
    <row r="268" spans="1:2" x14ac:dyDescent="0.2">
      <c r="A268" t="s">
        <v>456</v>
      </c>
      <c r="B268" s="4">
        <f>2*PI()/10</f>
        <v>0.62831853071795862</v>
      </c>
    </row>
    <row r="269" spans="1:2" x14ac:dyDescent="0.2">
      <c r="A269" t="s">
        <v>456</v>
      </c>
      <c r="B269" s="4">
        <f>2*PI()/2400</f>
        <v>2.6179938779914941E-3</v>
      </c>
    </row>
    <row r="270" spans="1:2" x14ac:dyDescent="0.2">
      <c r="A270" t="s">
        <v>457</v>
      </c>
      <c r="B270" s="4">
        <f>2*PI()/12000</f>
        <v>5.2359877559829881E-4</v>
      </c>
    </row>
    <row r="271" spans="1:2" x14ac:dyDescent="0.2">
      <c r="A271" t="s">
        <v>458</v>
      </c>
      <c r="B271" s="4" t="s">
        <v>206</v>
      </c>
    </row>
    <row r="272" spans="1:2" x14ac:dyDescent="0.2">
      <c r="A272" t="s">
        <v>459</v>
      </c>
      <c r="B272" s="4" t="s">
        <v>460</v>
      </c>
    </row>
    <row r="273" spans="1:2" x14ac:dyDescent="0.2">
      <c r="A273" t="s">
        <v>461</v>
      </c>
      <c r="B273" s="4" t="s">
        <v>462</v>
      </c>
    </row>
    <row r="274" spans="1:2" x14ac:dyDescent="0.2">
      <c r="A274" t="s">
        <v>463</v>
      </c>
      <c r="B274" s="4" t="s">
        <v>217</v>
      </c>
    </row>
    <row r="275" spans="1:2" x14ac:dyDescent="0.2">
      <c r="A275" t="s">
        <v>464</v>
      </c>
      <c r="B275" s="4" t="s">
        <v>465</v>
      </c>
    </row>
    <row r="276" spans="1:2" x14ac:dyDescent="0.2">
      <c r="A276" t="s">
        <v>466</v>
      </c>
      <c r="B276" s="4" t="s">
        <v>215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F18C-D8DC-4F39-BF16-BE4A3C13015C}">
  <dimension ref="A1"/>
  <sheetViews>
    <sheetView workbookViewId="0">
      <selection sqref="A1:A104857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AA20-D06B-48E3-B5FB-B8C98DEF5A18}">
  <dimension ref="A1"/>
  <sheetViews>
    <sheetView workbookViewId="0">
      <selection sqref="A1:XFD1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07AF-7444-4EC2-B16D-1F079CBC59E8}">
  <dimension ref="A1:E93"/>
  <sheetViews>
    <sheetView topLeftCell="A4" workbookViewId="0">
      <selection activeCell="E13" sqref="E13"/>
    </sheetView>
  </sheetViews>
  <sheetFormatPr baseColWidth="10" defaultColWidth="8.83203125" defaultRowHeight="15" x14ac:dyDescent="0.2"/>
  <cols>
    <col min="3" max="3" width="26.6640625" customWidth="1"/>
    <col min="4" max="4" width="23" customWidth="1"/>
    <col min="5" max="5" width="95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90</v>
      </c>
      <c r="E1" s="1" t="s">
        <v>92</v>
      </c>
    </row>
    <row r="2" spans="1:5" x14ac:dyDescent="0.2">
      <c r="A2" s="1"/>
      <c r="B2" s="1">
        <v>-65</v>
      </c>
      <c r="C2" s="1" t="s">
        <v>481</v>
      </c>
      <c r="D2" s="1" t="str">
        <f>"d"&amp;C2</f>
        <v>dV</v>
      </c>
      <c r="E2" s="1"/>
    </row>
    <row r="3" spans="1:5" x14ac:dyDescent="0.2">
      <c r="A3" s="1"/>
      <c r="B3" s="1">
        <v>1</v>
      </c>
      <c r="C3" s="1" t="s">
        <v>482</v>
      </c>
      <c r="D3" s="1" t="str">
        <f t="shared" ref="D3:D6" si="0">"d"&amp;C3</f>
        <v>dh</v>
      </c>
      <c r="E3" s="1"/>
    </row>
    <row r="4" spans="1:5" x14ac:dyDescent="0.2">
      <c r="A4" s="1"/>
      <c r="B4" s="1">
        <v>0</v>
      </c>
      <c r="C4" s="1" t="s">
        <v>483</v>
      </c>
      <c r="D4" s="1" t="str">
        <f t="shared" si="0"/>
        <v>ds</v>
      </c>
      <c r="E4" s="1"/>
    </row>
    <row r="5" spans="1:5" x14ac:dyDescent="0.2">
      <c r="A5" s="1"/>
      <c r="B5" s="1">
        <v>0</v>
      </c>
      <c r="C5" s="1" t="s">
        <v>484</v>
      </c>
      <c r="D5" s="1" t="str">
        <f t="shared" si="0"/>
        <v>dr</v>
      </c>
      <c r="E5" s="1"/>
    </row>
    <row r="6" spans="1:5" x14ac:dyDescent="0.2">
      <c r="A6" s="1"/>
      <c r="B6" s="1">
        <v>0</v>
      </c>
      <c r="C6" s="1" t="s">
        <v>485</v>
      </c>
      <c r="D6" s="1" t="str">
        <f t="shared" si="0"/>
        <v>dw</v>
      </c>
      <c r="E6" s="1"/>
    </row>
    <row r="7" spans="1:5" ht="16" x14ac:dyDescent="0.2">
      <c r="A7" s="2">
        <v>0</v>
      </c>
      <c r="B7" s="2">
        <v>1</v>
      </c>
      <c r="C7" s="3" t="s">
        <v>3</v>
      </c>
      <c r="D7" s="2" t="str">
        <f>"d"&amp;C7</f>
        <v>dcAMP</v>
      </c>
      <c r="E7" s="2"/>
    </row>
    <row r="8" spans="1:5" x14ac:dyDescent="0.2">
      <c r="A8" s="2">
        <v>1</v>
      </c>
      <c r="B8" s="2">
        <v>0</v>
      </c>
      <c r="C8" s="2" t="s">
        <v>19</v>
      </c>
      <c r="D8" s="2" t="str">
        <f>"d"&amp;C8</f>
        <v>dAMP</v>
      </c>
      <c r="E8" s="2"/>
    </row>
    <row r="9" spans="1:5" x14ac:dyDescent="0.2">
      <c r="A9" s="2">
        <v>2</v>
      </c>
      <c r="B9" s="2">
        <v>0.48799999999999999</v>
      </c>
      <c r="C9" s="2" t="s">
        <v>18</v>
      </c>
      <c r="D9" s="2" t="str">
        <f t="shared" ref="D9:D72" si="1">"d"&amp;C9</f>
        <v>dEpac</v>
      </c>
      <c r="E9" s="2"/>
    </row>
    <row r="10" spans="1:5" x14ac:dyDescent="0.2">
      <c r="A10" s="2">
        <v>3</v>
      </c>
      <c r="B10" s="2">
        <v>0</v>
      </c>
      <c r="C10" s="2" t="s">
        <v>20</v>
      </c>
      <c r="D10" s="2" t="str">
        <f t="shared" si="1"/>
        <v>dEpac_ON</v>
      </c>
      <c r="E10" s="2"/>
    </row>
    <row r="11" spans="1:5" x14ac:dyDescent="0.2">
      <c r="A11" s="2">
        <v>4</v>
      </c>
      <c r="B11" s="2">
        <v>0.2</v>
      </c>
      <c r="C11" s="2" t="s">
        <v>21</v>
      </c>
      <c r="D11" s="2" t="str">
        <f t="shared" si="1"/>
        <v>dRAP1_GDP</v>
      </c>
      <c r="E11" s="2"/>
    </row>
    <row r="12" spans="1:5" x14ac:dyDescent="0.2">
      <c r="A12" s="2">
        <v>5</v>
      </c>
      <c r="B12" s="2">
        <v>0</v>
      </c>
      <c r="C12" s="2" t="s">
        <v>22</v>
      </c>
      <c r="D12" s="2" t="str">
        <f t="shared" si="1"/>
        <v>dRAP1_GTP</v>
      </c>
      <c r="E12" s="2"/>
    </row>
    <row r="13" spans="1:5" x14ac:dyDescent="0.2">
      <c r="A13" s="2">
        <v>6</v>
      </c>
      <c r="B13" s="2">
        <v>0.8</v>
      </c>
      <c r="C13" s="2" t="s">
        <v>23</v>
      </c>
      <c r="D13" s="2" t="str">
        <f t="shared" si="1"/>
        <v>dERK</v>
      </c>
      <c r="E13" s="2"/>
    </row>
    <row r="14" spans="1:5" x14ac:dyDescent="0.2">
      <c r="A14" s="2">
        <v>7</v>
      </c>
      <c r="B14" s="2">
        <v>0</v>
      </c>
      <c r="C14" s="2" t="s">
        <v>24</v>
      </c>
      <c r="D14" s="2" t="str">
        <f t="shared" si="1"/>
        <v>dpERK</v>
      </c>
      <c r="E14" s="2"/>
    </row>
    <row r="15" spans="1:5" x14ac:dyDescent="0.2">
      <c r="A15" s="2">
        <v>8</v>
      </c>
      <c r="B15" s="2">
        <v>0</v>
      </c>
      <c r="C15" s="2" t="s">
        <v>25</v>
      </c>
      <c r="D15" s="2" t="str">
        <f t="shared" si="1"/>
        <v>dERK_dimer</v>
      </c>
      <c r="E15" s="2"/>
    </row>
    <row r="16" spans="1:5" x14ac:dyDescent="0.2">
      <c r="A16" s="2">
        <v>9</v>
      </c>
      <c r="B16" s="2">
        <v>0</v>
      </c>
      <c r="C16" s="2" t="s">
        <v>4</v>
      </c>
      <c r="D16" s="2" t="str">
        <f t="shared" si="1"/>
        <v>dC1</v>
      </c>
      <c r="E16" s="2"/>
    </row>
    <row r="17" spans="1:5" x14ac:dyDescent="0.2">
      <c r="A17" s="2">
        <v>10</v>
      </c>
      <c r="B17" s="2">
        <v>0.17299999999999999</v>
      </c>
      <c r="C17" s="2" t="s">
        <v>26</v>
      </c>
      <c r="D17" s="2" t="str">
        <f t="shared" si="1"/>
        <v>dPKA_tet</v>
      </c>
      <c r="E17" s="2"/>
    </row>
    <row r="18" spans="1:5" x14ac:dyDescent="0.2">
      <c r="A18" s="2">
        <v>11</v>
      </c>
      <c r="B18" s="2">
        <v>2.3E-2</v>
      </c>
      <c r="C18" s="2" t="s">
        <v>27</v>
      </c>
      <c r="D18" s="2" t="str">
        <f t="shared" si="1"/>
        <v>dPKA_reg</v>
      </c>
      <c r="E18" s="2"/>
    </row>
    <row r="19" spans="1:5" x14ac:dyDescent="0.2">
      <c r="A19" s="2">
        <v>12</v>
      </c>
      <c r="B19" s="2">
        <v>2.3E-2</v>
      </c>
      <c r="C19" s="2" t="s">
        <v>28</v>
      </c>
      <c r="D19" s="2" t="str">
        <f t="shared" si="1"/>
        <v>dPKA_cat</v>
      </c>
      <c r="E19" s="2"/>
    </row>
    <row r="20" spans="1:5" x14ac:dyDescent="0.2">
      <c r="A20" s="2">
        <v>13</v>
      </c>
      <c r="B20" s="2">
        <v>0</v>
      </c>
      <c r="C20" s="2" t="s">
        <v>29</v>
      </c>
      <c r="D20" s="2" t="str">
        <f t="shared" si="1"/>
        <v>dPKA_cat1</v>
      </c>
      <c r="E20" s="2"/>
    </row>
    <row r="21" spans="1:5" ht="16" x14ac:dyDescent="0.2">
      <c r="A21" s="2">
        <v>14</v>
      </c>
      <c r="B21" s="2">
        <f>53/215.2*0.4*0.7/6</f>
        <v>1.1493184634448575E-2</v>
      </c>
      <c r="C21" s="2" t="s">
        <v>30</v>
      </c>
      <c r="D21" s="2" t="str">
        <f t="shared" si="1"/>
        <v>dPDE4D7</v>
      </c>
      <c r="E21" s="3" t="s">
        <v>91</v>
      </c>
    </row>
    <row r="22" spans="1:5" x14ac:dyDescent="0.2">
      <c r="A22" s="2">
        <v>15</v>
      </c>
      <c r="B22" s="2">
        <v>0</v>
      </c>
      <c r="C22" s="2" t="s">
        <v>31</v>
      </c>
      <c r="D22" s="2" t="str">
        <f t="shared" si="1"/>
        <v>dPDE4D7_ERK</v>
      </c>
      <c r="E22" s="2"/>
    </row>
    <row r="23" spans="1:5" x14ac:dyDescent="0.2">
      <c r="A23" s="2">
        <v>16</v>
      </c>
      <c r="B23" s="2">
        <v>0</v>
      </c>
      <c r="C23" s="2" t="s">
        <v>5</v>
      </c>
      <c r="D23" s="2" t="str">
        <f t="shared" si="1"/>
        <v>dPDE4D7_PKA</v>
      </c>
      <c r="E23" s="2"/>
    </row>
    <row r="24" spans="1:5" x14ac:dyDescent="0.2">
      <c r="A24" s="2">
        <v>17</v>
      </c>
      <c r="B24" s="2">
        <v>0</v>
      </c>
      <c r="C24" s="2" t="s">
        <v>32</v>
      </c>
      <c r="D24" s="2" t="str">
        <f t="shared" si="1"/>
        <v>dPDE4D7_DP</v>
      </c>
      <c r="E24" s="2"/>
    </row>
    <row r="25" spans="1:5" x14ac:dyDescent="0.2">
      <c r="A25" s="2">
        <v>18</v>
      </c>
      <c r="B25" s="2">
        <f>53/215.2*0.4*0.7/6</f>
        <v>1.1493184634448575E-2</v>
      </c>
      <c r="C25" s="2" t="s">
        <v>33</v>
      </c>
      <c r="D25" s="2" t="str">
        <f t="shared" si="1"/>
        <v>dPDE4D4</v>
      </c>
      <c r="E25" s="2"/>
    </row>
    <row r="26" spans="1:5" x14ac:dyDescent="0.2">
      <c r="A26" s="2">
        <v>19</v>
      </c>
      <c r="B26" s="2">
        <v>0</v>
      </c>
      <c r="C26" s="2" t="s">
        <v>34</v>
      </c>
      <c r="D26" s="2" t="str">
        <f t="shared" si="1"/>
        <v>dPDE4D4_ERK</v>
      </c>
      <c r="E26" s="2"/>
    </row>
    <row r="27" spans="1:5" x14ac:dyDescent="0.2">
      <c r="A27" s="2">
        <v>20</v>
      </c>
      <c r="B27" s="2">
        <v>0</v>
      </c>
      <c r="C27" s="2" t="s">
        <v>35</v>
      </c>
      <c r="D27" s="2" t="str">
        <f t="shared" si="1"/>
        <v>dPDE4D4_PKA</v>
      </c>
      <c r="E27" s="2"/>
    </row>
    <row r="28" spans="1:5" x14ac:dyDescent="0.2">
      <c r="A28" s="2">
        <v>21</v>
      </c>
      <c r="B28" s="2">
        <v>0</v>
      </c>
      <c r="C28" s="2" t="s">
        <v>36</v>
      </c>
      <c r="D28" s="2" t="str">
        <f t="shared" si="1"/>
        <v>dPDE4D4_DP</v>
      </c>
      <c r="E28" s="2"/>
    </row>
    <row r="29" spans="1:5" x14ac:dyDescent="0.2">
      <c r="A29" s="2">
        <v>22</v>
      </c>
      <c r="B29" s="2">
        <f>53/215.2*0.4*0.7/6</f>
        <v>1.1493184634448575E-2</v>
      </c>
      <c r="C29" s="2" t="s">
        <v>37</v>
      </c>
      <c r="D29" s="2" t="str">
        <f t="shared" si="1"/>
        <v>dPDE4D5</v>
      </c>
      <c r="E29" s="2"/>
    </row>
    <row r="30" spans="1:5" x14ac:dyDescent="0.2">
      <c r="A30" s="2">
        <v>23</v>
      </c>
      <c r="B30" s="2">
        <v>0</v>
      </c>
      <c r="C30" s="2" t="s">
        <v>38</v>
      </c>
      <c r="D30" s="2" t="str">
        <f t="shared" si="1"/>
        <v>dPDE4D5_ERK</v>
      </c>
      <c r="E30" s="2"/>
    </row>
    <row r="31" spans="1:5" x14ac:dyDescent="0.2">
      <c r="A31" s="2">
        <v>24</v>
      </c>
      <c r="B31" s="2">
        <v>0</v>
      </c>
      <c r="C31" s="2" t="s">
        <v>39</v>
      </c>
      <c r="D31" s="2" t="str">
        <f t="shared" si="1"/>
        <v>dPDE4D5_PKA</v>
      </c>
      <c r="E31" s="2"/>
    </row>
    <row r="32" spans="1:5" x14ac:dyDescent="0.2">
      <c r="A32" s="2">
        <v>25</v>
      </c>
      <c r="B32" s="2">
        <v>0</v>
      </c>
      <c r="C32" s="2" t="s">
        <v>40</v>
      </c>
      <c r="D32" s="2" t="str">
        <f t="shared" si="1"/>
        <v>dPDE4D5_DP</v>
      </c>
      <c r="E32" s="2"/>
    </row>
    <row r="33" spans="1:5" x14ac:dyDescent="0.2">
      <c r="A33" s="2">
        <v>26</v>
      </c>
      <c r="B33" s="2">
        <f>53/215.2*0.4*0.7/6</f>
        <v>1.1493184634448575E-2</v>
      </c>
      <c r="C33" s="2" t="s">
        <v>6</v>
      </c>
      <c r="D33" s="2" t="str">
        <f t="shared" si="1"/>
        <v>dPDE4D3</v>
      </c>
      <c r="E33" s="2"/>
    </row>
    <row r="34" spans="1:5" x14ac:dyDescent="0.2">
      <c r="A34" s="2">
        <v>27</v>
      </c>
      <c r="B34" s="2">
        <v>0</v>
      </c>
      <c r="C34" s="2" t="s">
        <v>41</v>
      </c>
      <c r="D34" s="2" t="str">
        <f t="shared" si="1"/>
        <v>dPDE4D3_ERK</v>
      </c>
      <c r="E34" s="2"/>
    </row>
    <row r="35" spans="1:5" x14ac:dyDescent="0.2">
      <c r="A35" s="2">
        <v>28</v>
      </c>
      <c r="B35" s="2">
        <v>0</v>
      </c>
      <c r="C35" s="2" t="s">
        <v>42</v>
      </c>
      <c r="D35" s="2" t="str">
        <f t="shared" si="1"/>
        <v>dPDE4D3_PKA</v>
      </c>
      <c r="E35" s="2"/>
    </row>
    <row r="36" spans="1:5" x14ac:dyDescent="0.2">
      <c r="A36" s="2">
        <v>29</v>
      </c>
      <c r="B36" s="2">
        <v>0</v>
      </c>
      <c r="C36" s="2" t="s">
        <v>43</v>
      </c>
      <c r="D36" s="2" t="str">
        <f t="shared" si="1"/>
        <v>dPDE4D3_DP</v>
      </c>
      <c r="E36" s="2"/>
    </row>
    <row r="37" spans="1:5" x14ac:dyDescent="0.2">
      <c r="A37" s="2">
        <v>30</v>
      </c>
      <c r="B37" s="2">
        <f>53/215.2*0.4*0.7/6</f>
        <v>1.1493184634448575E-2</v>
      </c>
      <c r="C37" s="2" t="s">
        <v>44</v>
      </c>
      <c r="D37" s="2" t="str">
        <f t="shared" si="1"/>
        <v>dPDE4D8</v>
      </c>
      <c r="E37" s="2"/>
    </row>
    <row r="38" spans="1:5" x14ac:dyDescent="0.2">
      <c r="A38" s="2">
        <v>31</v>
      </c>
      <c r="B38" s="2">
        <v>0</v>
      </c>
      <c r="C38" s="2" t="s">
        <v>45</v>
      </c>
      <c r="D38" s="2" t="str">
        <f t="shared" si="1"/>
        <v>dPDE4D8_ERK</v>
      </c>
      <c r="E38" s="2"/>
    </row>
    <row r="39" spans="1:5" x14ac:dyDescent="0.2">
      <c r="A39" s="2">
        <v>32</v>
      </c>
      <c r="B39" s="2">
        <v>0</v>
      </c>
      <c r="C39" s="2" t="s">
        <v>7</v>
      </c>
      <c r="D39" s="2" t="str">
        <f t="shared" si="1"/>
        <v>dPDE4D8_PKA</v>
      </c>
      <c r="E39" s="2"/>
    </row>
    <row r="40" spans="1:5" x14ac:dyDescent="0.2">
      <c r="A40" s="2">
        <v>33</v>
      </c>
      <c r="B40" s="2">
        <v>0</v>
      </c>
      <c r="C40" s="2" t="s">
        <v>46</v>
      </c>
      <c r="D40" s="2" t="str">
        <f t="shared" si="1"/>
        <v>dPDE4D8_DP</v>
      </c>
      <c r="E40" s="2"/>
    </row>
    <row r="41" spans="1:5" x14ac:dyDescent="0.2">
      <c r="A41" s="2">
        <v>34</v>
      </c>
      <c r="B41" s="2">
        <f>53/215.2*0.4*0.7/6</f>
        <v>1.1493184634448575E-2</v>
      </c>
      <c r="C41" s="2" t="s">
        <v>47</v>
      </c>
      <c r="D41" s="2" t="str">
        <f t="shared" si="1"/>
        <v>dPDE4D9</v>
      </c>
      <c r="E41" s="2"/>
    </row>
    <row r="42" spans="1:5" x14ac:dyDescent="0.2">
      <c r="A42" s="2">
        <v>35</v>
      </c>
      <c r="B42" s="2">
        <v>0</v>
      </c>
      <c r="C42" s="2" t="s">
        <v>48</v>
      </c>
      <c r="D42" s="2" t="str">
        <f t="shared" si="1"/>
        <v>dPDE4D9_ERK</v>
      </c>
      <c r="E42" s="2"/>
    </row>
    <row r="43" spans="1:5" x14ac:dyDescent="0.2">
      <c r="A43" s="2">
        <v>36</v>
      </c>
      <c r="B43" s="2">
        <v>0</v>
      </c>
      <c r="C43" s="2" t="s">
        <v>49</v>
      </c>
      <c r="D43" s="2" t="str">
        <f t="shared" si="1"/>
        <v>dPDE4D9_PKA</v>
      </c>
      <c r="E43" s="2"/>
    </row>
    <row r="44" spans="1:5" x14ac:dyDescent="0.2">
      <c r="A44" s="2">
        <v>37</v>
      </c>
      <c r="B44" s="2">
        <v>0</v>
      </c>
      <c r="C44" s="2" t="s">
        <v>50</v>
      </c>
      <c r="D44" s="2" t="str">
        <f t="shared" si="1"/>
        <v>dPDE4D9_DP</v>
      </c>
      <c r="E44" s="2"/>
    </row>
    <row r="45" spans="1:5" x14ac:dyDescent="0.2">
      <c r="A45" s="2">
        <v>38</v>
      </c>
      <c r="B45" s="2">
        <f>53/215.2*0.4*0.11</f>
        <v>1.0836431226765801E-2</v>
      </c>
      <c r="C45" s="2" t="s">
        <v>51</v>
      </c>
      <c r="D45" s="2" t="str">
        <f t="shared" si="1"/>
        <v>dPDE4D1</v>
      </c>
      <c r="E45" s="2"/>
    </row>
    <row r="46" spans="1:5" x14ac:dyDescent="0.2">
      <c r="A46" s="2">
        <v>39</v>
      </c>
      <c r="B46" s="2">
        <v>0</v>
      </c>
      <c r="C46" s="2" t="s">
        <v>52</v>
      </c>
      <c r="D46" s="2" t="str">
        <f t="shared" si="1"/>
        <v>dPDE4D1_ERK</v>
      </c>
      <c r="E46" s="2"/>
    </row>
    <row r="47" spans="1:5" x14ac:dyDescent="0.2">
      <c r="A47" s="2">
        <v>40</v>
      </c>
      <c r="B47" s="2">
        <v>0</v>
      </c>
      <c r="C47" s="2" t="s">
        <v>53</v>
      </c>
      <c r="D47" s="2" t="str">
        <f t="shared" si="1"/>
        <v>dPDE4D1_PKA</v>
      </c>
      <c r="E47" s="2"/>
    </row>
    <row r="48" spans="1:5" x14ac:dyDescent="0.2">
      <c r="A48" s="2">
        <v>41</v>
      </c>
      <c r="B48" s="2">
        <v>0</v>
      </c>
      <c r="C48" s="2" t="s">
        <v>54</v>
      </c>
      <c r="D48" s="2" t="str">
        <f t="shared" si="1"/>
        <v>dPDE4D1_DP</v>
      </c>
      <c r="E48" s="2"/>
    </row>
    <row r="49" spans="1:5" x14ac:dyDescent="0.2">
      <c r="A49" s="2">
        <v>42</v>
      </c>
      <c r="B49" s="2">
        <f>53/215.2*0.4*0.19/2</f>
        <v>9.3587360594795544E-3</v>
      </c>
      <c r="C49" s="2" t="s">
        <v>55</v>
      </c>
      <c r="D49" s="2" t="str">
        <f t="shared" si="1"/>
        <v>dPDE4D2</v>
      </c>
      <c r="E49" s="2"/>
    </row>
    <row r="50" spans="1:5" x14ac:dyDescent="0.2">
      <c r="A50" s="2">
        <v>43</v>
      </c>
      <c r="B50" s="2">
        <v>0</v>
      </c>
      <c r="C50" s="2" t="s">
        <v>8</v>
      </c>
      <c r="D50" s="2" t="str">
        <f t="shared" si="1"/>
        <v>dPDE4D2_ERK</v>
      </c>
      <c r="E50" s="2"/>
    </row>
    <row r="51" spans="1:5" x14ac:dyDescent="0.2">
      <c r="A51" s="2">
        <v>44</v>
      </c>
      <c r="B51" s="2">
        <v>0</v>
      </c>
      <c r="C51" s="2" t="s">
        <v>56</v>
      </c>
      <c r="D51" s="2" t="str">
        <f t="shared" si="1"/>
        <v>dPDE4D2_PKA</v>
      </c>
      <c r="E51" s="2"/>
    </row>
    <row r="52" spans="1:5" x14ac:dyDescent="0.2">
      <c r="A52" s="2">
        <v>45</v>
      </c>
      <c r="B52" s="2">
        <v>0</v>
      </c>
      <c r="C52" s="2" t="s">
        <v>57</v>
      </c>
      <c r="D52" s="2" t="str">
        <f t="shared" si="1"/>
        <v>dPDE4D2_DP</v>
      </c>
      <c r="E52" s="2"/>
    </row>
    <row r="53" spans="1:5" x14ac:dyDescent="0.2">
      <c r="A53" s="2">
        <v>46</v>
      </c>
      <c r="B53" s="2">
        <f>53/215.2*0.4*0.19/2</f>
        <v>9.3587360594795544E-3</v>
      </c>
      <c r="C53" s="2" t="s">
        <v>58</v>
      </c>
      <c r="D53" s="2" t="str">
        <f t="shared" si="1"/>
        <v>dPDE4D6</v>
      </c>
      <c r="E53" s="2"/>
    </row>
    <row r="54" spans="1:5" x14ac:dyDescent="0.2">
      <c r="A54" s="2">
        <v>47</v>
      </c>
      <c r="B54" s="2">
        <v>0</v>
      </c>
      <c r="C54" s="2" t="s">
        <v>59</v>
      </c>
      <c r="D54" s="2" t="str">
        <f t="shared" si="1"/>
        <v>dPDE4D6_ERK</v>
      </c>
      <c r="E54" s="2"/>
    </row>
    <row r="55" spans="1:5" x14ac:dyDescent="0.2">
      <c r="A55" s="2">
        <v>48</v>
      </c>
      <c r="B55" s="2">
        <v>0</v>
      </c>
      <c r="C55" s="2" t="s">
        <v>9</v>
      </c>
      <c r="D55" s="2" t="str">
        <f t="shared" si="1"/>
        <v>dPDE4D6_PKA</v>
      </c>
      <c r="E55" s="2"/>
    </row>
    <row r="56" spans="1:5" x14ac:dyDescent="0.2">
      <c r="A56" s="2">
        <v>49</v>
      </c>
      <c r="B56" s="2">
        <v>0</v>
      </c>
      <c r="C56" s="2" t="s">
        <v>60</v>
      </c>
      <c r="D56" s="2" t="str">
        <f t="shared" si="1"/>
        <v>dPDE4D6_DP</v>
      </c>
      <c r="E56" s="2"/>
    </row>
    <row r="57" spans="1:5" x14ac:dyDescent="0.2">
      <c r="A57" s="2">
        <v>50</v>
      </c>
      <c r="B57" s="2">
        <v>0</v>
      </c>
      <c r="C57" s="2" t="s">
        <v>61</v>
      </c>
      <c r="D57" s="2" t="str">
        <f t="shared" si="1"/>
        <v>dPDE4D7_rolipram</v>
      </c>
      <c r="E57" s="2"/>
    </row>
    <row r="58" spans="1:5" x14ac:dyDescent="0.2">
      <c r="A58" s="2">
        <v>51</v>
      </c>
      <c r="B58" s="2">
        <v>0</v>
      </c>
      <c r="C58" s="2" t="s">
        <v>62</v>
      </c>
      <c r="D58" s="2" t="str">
        <f t="shared" si="1"/>
        <v>dPDE4D7_ERK_rolipram</v>
      </c>
      <c r="E58" s="2"/>
    </row>
    <row r="59" spans="1:5" x14ac:dyDescent="0.2">
      <c r="A59" s="2">
        <v>52</v>
      </c>
      <c r="B59" s="2">
        <v>0</v>
      </c>
      <c r="C59" s="2" t="s">
        <v>10</v>
      </c>
      <c r="D59" s="2" t="str">
        <f t="shared" si="1"/>
        <v>dPDE4D7_PKA_rolipram</v>
      </c>
      <c r="E59" s="2"/>
    </row>
    <row r="60" spans="1:5" x14ac:dyDescent="0.2">
      <c r="A60" s="2">
        <v>53</v>
      </c>
      <c r="B60" s="2">
        <v>0</v>
      </c>
      <c r="C60" s="2" t="s">
        <v>63</v>
      </c>
      <c r="D60" s="2" t="str">
        <f t="shared" si="1"/>
        <v>dPDE4D7_DP_rolipram</v>
      </c>
      <c r="E60" s="2"/>
    </row>
    <row r="61" spans="1:5" x14ac:dyDescent="0.2">
      <c r="A61" s="2">
        <v>54</v>
      </c>
      <c r="B61" s="2">
        <v>0</v>
      </c>
      <c r="C61" s="2" t="s">
        <v>64</v>
      </c>
      <c r="D61" s="2" t="str">
        <f t="shared" si="1"/>
        <v>dPDE4D4_rolipram</v>
      </c>
      <c r="E61" s="2"/>
    </row>
    <row r="62" spans="1:5" x14ac:dyDescent="0.2">
      <c r="A62" s="2">
        <v>55</v>
      </c>
      <c r="B62" s="2">
        <v>0</v>
      </c>
      <c r="C62" s="2" t="s">
        <v>65</v>
      </c>
      <c r="D62" s="2" t="str">
        <f t="shared" si="1"/>
        <v>dPDE4D4_ERK_rolipram</v>
      </c>
      <c r="E62" s="2"/>
    </row>
    <row r="63" spans="1:5" x14ac:dyDescent="0.2">
      <c r="A63" s="2">
        <v>56</v>
      </c>
      <c r="B63" s="2">
        <v>0</v>
      </c>
      <c r="C63" s="2" t="s">
        <v>11</v>
      </c>
      <c r="D63" s="2" t="str">
        <f t="shared" si="1"/>
        <v>dPDE4D4_PKA_rolipram</v>
      </c>
      <c r="E63" s="2"/>
    </row>
    <row r="64" spans="1:5" x14ac:dyDescent="0.2">
      <c r="A64" s="2">
        <v>57</v>
      </c>
      <c r="B64" s="2">
        <v>0</v>
      </c>
      <c r="C64" s="2" t="s">
        <v>66</v>
      </c>
      <c r="D64" s="2" t="str">
        <f t="shared" si="1"/>
        <v>dPDE4D4_DP_rolipram</v>
      </c>
      <c r="E64" s="2"/>
    </row>
    <row r="65" spans="1:5" x14ac:dyDescent="0.2">
      <c r="A65" s="2">
        <v>58</v>
      </c>
      <c r="B65" s="2">
        <v>0</v>
      </c>
      <c r="C65" s="2" t="s">
        <v>67</v>
      </c>
      <c r="D65" s="2" t="str">
        <f t="shared" si="1"/>
        <v>dPDE4D5_rolipram</v>
      </c>
      <c r="E65" s="2"/>
    </row>
    <row r="66" spans="1:5" x14ac:dyDescent="0.2">
      <c r="A66" s="2">
        <v>59</v>
      </c>
      <c r="B66" s="2">
        <v>0</v>
      </c>
      <c r="C66" s="2" t="s">
        <v>68</v>
      </c>
      <c r="D66" s="2" t="str">
        <f t="shared" si="1"/>
        <v>dPDE4D5_ERK_rolipram</v>
      </c>
      <c r="E66" s="2"/>
    </row>
    <row r="67" spans="1:5" x14ac:dyDescent="0.2">
      <c r="A67" s="2">
        <v>60</v>
      </c>
      <c r="B67" s="2">
        <v>0</v>
      </c>
      <c r="C67" s="2" t="s">
        <v>12</v>
      </c>
      <c r="D67" s="2" t="str">
        <f t="shared" si="1"/>
        <v>dPDE4D5_PKA_rolipram</v>
      </c>
      <c r="E67" s="2"/>
    </row>
    <row r="68" spans="1:5" x14ac:dyDescent="0.2">
      <c r="A68" s="2">
        <v>61</v>
      </c>
      <c r="B68" s="2">
        <v>0</v>
      </c>
      <c r="C68" s="2" t="s">
        <v>69</v>
      </c>
      <c r="D68" s="2" t="str">
        <f t="shared" si="1"/>
        <v>dPDE4D5_DP_rolipram</v>
      </c>
      <c r="E68" s="2"/>
    </row>
    <row r="69" spans="1:5" x14ac:dyDescent="0.2">
      <c r="A69" s="2">
        <v>62</v>
      </c>
      <c r="B69" s="2">
        <v>0</v>
      </c>
      <c r="C69" s="2" t="s">
        <v>70</v>
      </c>
      <c r="D69" s="2" t="str">
        <f t="shared" si="1"/>
        <v>dPDE4D3_rolipram</v>
      </c>
      <c r="E69" s="2"/>
    </row>
    <row r="70" spans="1:5" x14ac:dyDescent="0.2">
      <c r="A70" s="2">
        <v>63</v>
      </c>
      <c r="B70" s="2">
        <v>0</v>
      </c>
      <c r="C70" s="2" t="s">
        <v>71</v>
      </c>
      <c r="D70" s="2" t="str">
        <f t="shared" si="1"/>
        <v>dPDE4D3_ERK_rolipram</v>
      </c>
      <c r="E70" s="2"/>
    </row>
    <row r="71" spans="1:5" x14ac:dyDescent="0.2">
      <c r="A71" s="2">
        <v>64</v>
      </c>
      <c r="B71" s="2">
        <v>0</v>
      </c>
      <c r="C71" s="2" t="s">
        <v>13</v>
      </c>
      <c r="D71" s="2" t="str">
        <f t="shared" si="1"/>
        <v>dPDE4D3_PKA_rolipram</v>
      </c>
      <c r="E71" s="2"/>
    </row>
    <row r="72" spans="1:5" x14ac:dyDescent="0.2">
      <c r="A72" s="2">
        <v>65</v>
      </c>
      <c r="B72" s="2">
        <v>0</v>
      </c>
      <c r="C72" s="2" t="s">
        <v>72</v>
      </c>
      <c r="D72" s="2" t="str">
        <f t="shared" si="1"/>
        <v>dPDE4D3_DP_rolipram</v>
      </c>
      <c r="E72" s="2"/>
    </row>
    <row r="73" spans="1:5" x14ac:dyDescent="0.2">
      <c r="A73" s="2">
        <v>66</v>
      </c>
      <c r="B73" s="2">
        <v>0</v>
      </c>
      <c r="C73" s="2" t="s">
        <v>73</v>
      </c>
      <c r="D73" s="2" t="str">
        <f t="shared" ref="D73:D93" si="2">"d"&amp;C73</f>
        <v>dPDE4D8_rolipram</v>
      </c>
      <c r="E73" s="2"/>
    </row>
    <row r="74" spans="1:5" x14ac:dyDescent="0.2">
      <c r="A74" s="2">
        <v>67</v>
      </c>
      <c r="B74" s="2">
        <v>0</v>
      </c>
      <c r="C74" s="2" t="s">
        <v>74</v>
      </c>
      <c r="D74" s="2" t="str">
        <f t="shared" si="2"/>
        <v>dPDE4D8_ERK_rolipram</v>
      </c>
      <c r="E74" s="2"/>
    </row>
    <row r="75" spans="1:5" x14ac:dyDescent="0.2">
      <c r="A75" s="2">
        <v>68</v>
      </c>
      <c r="B75" s="2">
        <v>0</v>
      </c>
      <c r="C75" s="2" t="s">
        <v>14</v>
      </c>
      <c r="D75" s="2" t="str">
        <f t="shared" si="2"/>
        <v>dPDE4D8_PKA_rolipram</v>
      </c>
      <c r="E75" s="2"/>
    </row>
    <row r="76" spans="1:5" x14ac:dyDescent="0.2">
      <c r="A76" s="2">
        <v>69</v>
      </c>
      <c r="B76" s="2">
        <v>0</v>
      </c>
      <c r="C76" s="2" t="s">
        <v>75</v>
      </c>
      <c r="D76" s="2" t="str">
        <f t="shared" si="2"/>
        <v>dPDE4D8_DP_rolipram</v>
      </c>
      <c r="E76" s="2"/>
    </row>
    <row r="77" spans="1:5" x14ac:dyDescent="0.2">
      <c r="A77" s="2">
        <v>70</v>
      </c>
      <c r="B77" s="2">
        <v>0</v>
      </c>
      <c r="C77" s="2" t="s">
        <v>76</v>
      </c>
      <c r="D77" s="2" t="str">
        <f t="shared" si="2"/>
        <v>dPDE4D9_rolipram</v>
      </c>
      <c r="E77" s="2"/>
    </row>
    <row r="78" spans="1:5" x14ac:dyDescent="0.2">
      <c r="A78" s="2">
        <v>71</v>
      </c>
      <c r="B78" s="2">
        <v>0</v>
      </c>
      <c r="C78" s="2" t="s">
        <v>77</v>
      </c>
      <c r="D78" s="2" t="str">
        <f t="shared" si="2"/>
        <v>dPDE4D9_ERK_rolipram</v>
      </c>
      <c r="E78" s="2"/>
    </row>
    <row r="79" spans="1:5" x14ac:dyDescent="0.2">
      <c r="A79" s="2">
        <v>72</v>
      </c>
      <c r="B79" s="2">
        <v>0</v>
      </c>
      <c r="C79" s="2" t="s">
        <v>15</v>
      </c>
      <c r="D79" s="2" t="str">
        <f t="shared" si="2"/>
        <v>dPDE4D9_PKA_rolipram</v>
      </c>
      <c r="E79" s="2"/>
    </row>
    <row r="80" spans="1:5" x14ac:dyDescent="0.2">
      <c r="A80" s="2">
        <v>73</v>
      </c>
      <c r="B80" s="2">
        <v>0</v>
      </c>
      <c r="C80" s="2" t="s">
        <v>78</v>
      </c>
      <c r="D80" s="2" t="str">
        <f t="shared" si="2"/>
        <v>dPDE4D9_DP_rolipram</v>
      </c>
      <c r="E80" s="2"/>
    </row>
    <row r="81" spans="1:5" x14ac:dyDescent="0.2">
      <c r="A81" s="2">
        <v>74</v>
      </c>
      <c r="B81" s="2">
        <v>0</v>
      </c>
      <c r="C81" s="2" t="s">
        <v>79</v>
      </c>
      <c r="D81" s="2" t="str">
        <f t="shared" si="2"/>
        <v>dPDE4D1_rolipram</v>
      </c>
      <c r="E81" s="2"/>
    </row>
    <row r="82" spans="1:5" x14ac:dyDescent="0.2">
      <c r="A82" s="2">
        <v>75</v>
      </c>
      <c r="B82" s="2">
        <v>0</v>
      </c>
      <c r="C82" s="2" t="s">
        <v>80</v>
      </c>
      <c r="D82" s="2" t="str">
        <f t="shared" si="2"/>
        <v>dPDE4D1_ERK_rolipram</v>
      </c>
      <c r="E82" s="2"/>
    </row>
    <row r="83" spans="1:5" x14ac:dyDescent="0.2">
      <c r="A83" s="2">
        <v>76</v>
      </c>
      <c r="B83" s="2">
        <v>0</v>
      </c>
      <c r="C83" s="2" t="s">
        <v>16</v>
      </c>
      <c r="D83" s="2" t="str">
        <f t="shared" si="2"/>
        <v>dPDE4D2_rolipram</v>
      </c>
      <c r="E83" s="2"/>
    </row>
    <row r="84" spans="1:5" x14ac:dyDescent="0.2">
      <c r="A84" s="2">
        <v>77</v>
      </c>
      <c r="B84" s="2">
        <v>0</v>
      </c>
      <c r="C84" s="2" t="s">
        <v>81</v>
      </c>
      <c r="D84" s="2" t="str">
        <f t="shared" si="2"/>
        <v>dPDE4D2_ERK_rolipram</v>
      </c>
      <c r="E84" s="2"/>
    </row>
    <row r="85" spans="1:5" x14ac:dyDescent="0.2">
      <c r="A85" s="2">
        <v>78</v>
      </c>
      <c r="B85" s="2">
        <v>0</v>
      </c>
      <c r="C85" s="2" t="s">
        <v>82</v>
      </c>
      <c r="D85" s="2" t="str">
        <f t="shared" si="2"/>
        <v>dPDE4D6_rolipram</v>
      </c>
      <c r="E85" s="2"/>
    </row>
    <row r="86" spans="1:5" x14ac:dyDescent="0.2">
      <c r="A86" s="2">
        <v>79</v>
      </c>
      <c r="B86" s="2">
        <v>0</v>
      </c>
      <c r="C86" s="2" t="s">
        <v>83</v>
      </c>
      <c r="D86" s="2" t="str">
        <f t="shared" si="2"/>
        <v>dPDE4D6_ERK_rolipram</v>
      </c>
      <c r="E86" s="2"/>
    </row>
    <row r="87" spans="1:5" x14ac:dyDescent="0.2">
      <c r="A87" s="2">
        <v>80</v>
      </c>
      <c r="B87" s="2">
        <v>8.5000000000000006E-2</v>
      </c>
      <c r="C87" s="2" t="s">
        <v>17</v>
      </c>
      <c r="D87" s="2" t="str">
        <f t="shared" si="2"/>
        <v>dCREB</v>
      </c>
      <c r="E87" s="2"/>
    </row>
    <row r="88" spans="1:5" x14ac:dyDescent="0.2">
      <c r="A88" s="2">
        <v>81</v>
      </c>
      <c r="B88" s="2">
        <v>1.4999999999999999E-2</v>
      </c>
      <c r="C88" s="2" t="s">
        <v>84</v>
      </c>
      <c r="D88" s="2" t="str">
        <f t="shared" si="2"/>
        <v>dpCREB</v>
      </c>
      <c r="E88" s="2"/>
    </row>
    <row r="89" spans="1:5" x14ac:dyDescent="0.2">
      <c r="A89" s="2">
        <v>82</v>
      </c>
      <c r="B89" s="2">
        <f>47/215.2*0.4</f>
        <v>8.7360594795539037E-2</v>
      </c>
      <c r="C89" s="2" t="s">
        <v>85</v>
      </c>
      <c r="D89" s="2" t="str">
        <f t="shared" si="2"/>
        <v>dPDE4A</v>
      </c>
      <c r="E89" s="2"/>
    </row>
    <row r="90" spans="1:5" x14ac:dyDescent="0.2">
      <c r="A90" s="2">
        <v>83</v>
      </c>
      <c r="B90" s="2">
        <v>0</v>
      </c>
      <c r="C90" s="2" t="s">
        <v>86</v>
      </c>
      <c r="D90" s="2" t="str">
        <f t="shared" si="2"/>
        <v>dPDE4A_rolipram</v>
      </c>
      <c r="E90" s="2"/>
    </row>
    <row r="91" spans="1:5" x14ac:dyDescent="0.2">
      <c r="A91" s="2">
        <v>84</v>
      </c>
      <c r="B91" s="2">
        <f>115.2/215.2*0.4</f>
        <v>0.21412639405204464</v>
      </c>
      <c r="C91" s="2" t="s">
        <v>87</v>
      </c>
      <c r="D91" s="2" t="str">
        <f t="shared" si="2"/>
        <v>dPDE4B</v>
      </c>
      <c r="E91" s="2"/>
    </row>
    <row r="92" spans="1:5" x14ac:dyDescent="0.2">
      <c r="A92" s="2">
        <v>85</v>
      </c>
      <c r="B92" s="2">
        <v>0</v>
      </c>
      <c r="C92" s="2" t="s">
        <v>88</v>
      </c>
      <c r="D92" s="2" t="str">
        <f t="shared" si="2"/>
        <v>dPDE4B_rolipram</v>
      </c>
      <c r="E92" s="2"/>
    </row>
    <row r="93" spans="1:5" x14ac:dyDescent="0.2">
      <c r="A93" s="2">
        <v>86</v>
      </c>
      <c r="B93" s="2">
        <v>0</v>
      </c>
      <c r="C93" s="2" t="s">
        <v>89</v>
      </c>
      <c r="D93" s="2" t="str">
        <f t="shared" si="2"/>
        <v>drolipram</v>
      </c>
      <c r="E93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CC9B-9C86-47FB-A3EF-FDDDDB7AC554}">
  <dimension ref="A1:F93"/>
  <sheetViews>
    <sheetView workbookViewId="0">
      <selection activeCell="F2" sqref="F2"/>
    </sheetView>
  </sheetViews>
  <sheetFormatPr baseColWidth="10" defaultColWidth="8.83203125" defaultRowHeight="15" x14ac:dyDescent="0.2"/>
  <cols>
    <col min="3" max="3" width="26.6640625" customWidth="1"/>
    <col min="4" max="4" width="23" customWidth="1"/>
    <col min="5" max="5" width="95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90</v>
      </c>
      <c r="E1" s="1" t="s">
        <v>92</v>
      </c>
      <c r="F1">
        <v>0.65</v>
      </c>
    </row>
    <row r="2" spans="1:6" x14ac:dyDescent="0.2">
      <c r="A2" s="1"/>
      <c r="B2" s="1">
        <v>-65</v>
      </c>
      <c r="C2" s="1" t="s">
        <v>481</v>
      </c>
      <c r="D2" s="1" t="str">
        <f>"d"&amp;C2</f>
        <v>dV</v>
      </c>
      <c r="E2" s="1"/>
    </row>
    <row r="3" spans="1:6" x14ac:dyDescent="0.2">
      <c r="A3" s="1"/>
      <c r="B3" s="1">
        <v>1</v>
      </c>
      <c r="C3" s="1" t="s">
        <v>482</v>
      </c>
      <c r="D3" s="1" t="str">
        <f t="shared" ref="D3:D6" si="0">"d"&amp;C3</f>
        <v>dh</v>
      </c>
      <c r="E3" s="1"/>
    </row>
    <row r="4" spans="1:6" x14ac:dyDescent="0.2">
      <c r="A4" s="1"/>
      <c r="B4" s="1">
        <v>0</v>
      </c>
      <c r="C4" s="1" t="s">
        <v>483</v>
      </c>
      <c r="D4" s="1" t="str">
        <f t="shared" si="0"/>
        <v>ds</v>
      </c>
      <c r="E4" s="1"/>
    </row>
    <row r="5" spans="1:6" x14ac:dyDescent="0.2">
      <c r="A5" s="1"/>
      <c r="B5" s="1">
        <v>0</v>
      </c>
      <c r="C5" s="1" t="s">
        <v>484</v>
      </c>
      <c r="D5" s="1" t="str">
        <f t="shared" si="0"/>
        <v>dr</v>
      </c>
      <c r="E5" s="1"/>
    </row>
    <row r="6" spans="1:6" x14ac:dyDescent="0.2">
      <c r="A6" s="1"/>
      <c r="B6" s="1">
        <v>0</v>
      </c>
      <c r="C6" s="1" t="s">
        <v>485</v>
      </c>
      <c r="D6" s="1" t="str">
        <f t="shared" si="0"/>
        <v>dw</v>
      </c>
      <c r="E6" s="1"/>
    </row>
    <row r="7" spans="1:6" ht="16" x14ac:dyDescent="0.2">
      <c r="A7" s="2">
        <v>0</v>
      </c>
      <c r="B7" s="2">
        <v>1</v>
      </c>
      <c r="C7" s="3" t="s">
        <v>3</v>
      </c>
      <c r="D7" s="2" t="str">
        <f>"d"&amp;C7</f>
        <v>dcAMP</v>
      </c>
      <c r="E7" s="2"/>
    </row>
    <row r="8" spans="1:6" x14ac:dyDescent="0.2">
      <c r="A8" s="2">
        <v>1</v>
      </c>
      <c r="B8" s="2">
        <v>0</v>
      </c>
      <c r="C8" s="2" t="s">
        <v>19</v>
      </c>
      <c r="D8" s="2" t="str">
        <f>"d"&amp;C8</f>
        <v>dAMP</v>
      </c>
      <c r="E8" s="2"/>
    </row>
    <row r="9" spans="1:6" x14ac:dyDescent="0.2">
      <c r="A9" s="2">
        <v>2</v>
      </c>
      <c r="B9" s="2">
        <v>0.48799999999999999</v>
      </c>
      <c r="C9" s="2" t="s">
        <v>18</v>
      </c>
      <c r="D9" s="2" t="str">
        <f t="shared" ref="D9:D72" si="1">"d"&amp;C9</f>
        <v>dEpac</v>
      </c>
      <c r="E9" s="2"/>
    </row>
    <row r="10" spans="1:6" x14ac:dyDescent="0.2">
      <c r="A10" s="2">
        <v>3</v>
      </c>
      <c r="B10" s="2">
        <v>0</v>
      </c>
      <c r="C10" s="2" t="s">
        <v>20</v>
      </c>
      <c r="D10" s="2" t="str">
        <f t="shared" si="1"/>
        <v>dEpac_ON</v>
      </c>
      <c r="E10" s="2"/>
    </row>
    <row r="11" spans="1:6" x14ac:dyDescent="0.2">
      <c r="A11" s="2">
        <v>4</v>
      </c>
      <c r="B11" s="2">
        <v>0.2</v>
      </c>
      <c r="C11" s="2" t="s">
        <v>21</v>
      </c>
      <c r="D11" s="2" t="str">
        <f t="shared" si="1"/>
        <v>dRAP1_GDP</v>
      </c>
      <c r="E11" s="2"/>
    </row>
    <row r="12" spans="1:6" x14ac:dyDescent="0.2">
      <c r="A12" s="2">
        <v>5</v>
      </c>
      <c r="B12" s="2">
        <v>0</v>
      </c>
      <c r="C12" s="2" t="s">
        <v>22</v>
      </c>
      <c r="D12" s="2" t="str">
        <f t="shared" si="1"/>
        <v>dRAP1_GTP</v>
      </c>
      <c r="E12" s="2"/>
    </row>
    <row r="13" spans="1:6" x14ac:dyDescent="0.2">
      <c r="A13" s="2">
        <v>6</v>
      </c>
      <c r="B13" s="2">
        <v>0.8</v>
      </c>
      <c r="C13" s="2" t="s">
        <v>23</v>
      </c>
      <c r="D13" s="2" t="str">
        <f t="shared" si="1"/>
        <v>dERK</v>
      </c>
      <c r="E13" s="2"/>
    </row>
    <row r="14" spans="1:6" x14ac:dyDescent="0.2">
      <c r="A14" s="2">
        <v>7</v>
      </c>
      <c r="B14" s="2">
        <v>0</v>
      </c>
      <c r="C14" s="2" t="s">
        <v>24</v>
      </c>
      <c r="D14" s="2" t="str">
        <f t="shared" si="1"/>
        <v>dpERK</v>
      </c>
      <c r="E14" s="2"/>
    </row>
    <row r="15" spans="1:6" x14ac:dyDescent="0.2">
      <c r="A15" s="2">
        <v>8</v>
      </c>
      <c r="B15" s="2">
        <v>0</v>
      </c>
      <c r="C15" s="2" t="s">
        <v>25</v>
      </c>
      <c r="D15" s="2" t="str">
        <f t="shared" si="1"/>
        <v>dERK_dimer</v>
      </c>
      <c r="E15" s="2"/>
    </row>
    <row r="16" spans="1:6" x14ac:dyDescent="0.2">
      <c r="A16" s="2">
        <v>9</v>
      </c>
      <c r="B16" s="2">
        <v>0</v>
      </c>
      <c r="C16" s="2" t="s">
        <v>4</v>
      </c>
      <c r="D16" s="2" t="str">
        <f t="shared" si="1"/>
        <v>dC1</v>
      </c>
      <c r="E16" s="2"/>
    </row>
    <row r="17" spans="1:5" x14ac:dyDescent="0.2">
      <c r="A17" s="2">
        <v>10</v>
      </c>
      <c r="B17" s="2">
        <v>0.17299999999999999</v>
      </c>
      <c r="C17" s="2" t="s">
        <v>26</v>
      </c>
      <c r="D17" s="2" t="str">
        <f t="shared" si="1"/>
        <v>dPKA_tet</v>
      </c>
      <c r="E17" s="2"/>
    </row>
    <row r="18" spans="1:5" x14ac:dyDescent="0.2">
      <c r="A18" s="2">
        <v>11</v>
      </c>
      <c r="B18" s="2">
        <v>2.3E-2</v>
      </c>
      <c r="C18" s="2" t="s">
        <v>27</v>
      </c>
      <c r="D18" s="2" t="str">
        <f t="shared" si="1"/>
        <v>dPKA_reg</v>
      </c>
      <c r="E18" s="2"/>
    </row>
    <row r="19" spans="1:5" x14ac:dyDescent="0.2">
      <c r="A19" s="2">
        <v>12</v>
      </c>
      <c r="B19" s="2">
        <v>2.3E-2</v>
      </c>
      <c r="C19" s="2" t="s">
        <v>28</v>
      </c>
      <c r="D19" s="2" t="str">
        <f t="shared" si="1"/>
        <v>dPKA_cat</v>
      </c>
      <c r="E19" s="2"/>
    </row>
    <row r="20" spans="1:5" x14ac:dyDescent="0.2">
      <c r="A20" s="2">
        <v>13</v>
      </c>
      <c r="B20" s="2">
        <v>0</v>
      </c>
      <c r="C20" s="2" t="s">
        <v>29</v>
      </c>
      <c r="D20" s="2" t="str">
        <f t="shared" si="1"/>
        <v>dPKA_cat1</v>
      </c>
      <c r="E20" s="2"/>
    </row>
    <row r="21" spans="1:5" ht="16" x14ac:dyDescent="0.2">
      <c r="A21" s="2">
        <v>14</v>
      </c>
      <c r="B21" s="2">
        <f>53/215.2*0.4*0.7/6*F1</f>
        <v>7.470570012391574E-3</v>
      </c>
      <c r="C21" s="2" t="s">
        <v>30</v>
      </c>
      <c r="D21" s="2" t="str">
        <f t="shared" si="1"/>
        <v>dPDE4D7</v>
      </c>
      <c r="E21" s="3" t="s">
        <v>91</v>
      </c>
    </row>
    <row r="22" spans="1:5" x14ac:dyDescent="0.2">
      <c r="A22" s="2">
        <v>15</v>
      </c>
      <c r="B22" s="2">
        <v>0</v>
      </c>
      <c r="C22" s="2" t="s">
        <v>31</v>
      </c>
      <c r="D22" s="2" t="str">
        <f t="shared" si="1"/>
        <v>dPDE4D7_ERK</v>
      </c>
      <c r="E22" s="2"/>
    </row>
    <row r="23" spans="1:5" x14ac:dyDescent="0.2">
      <c r="A23" s="2">
        <v>16</v>
      </c>
      <c r="B23" s="2">
        <v>0</v>
      </c>
      <c r="C23" s="2" t="s">
        <v>5</v>
      </c>
      <c r="D23" s="2" t="str">
        <f t="shared" si="1"/>
        <v>dPDE4D7_PKA</v>
      </c>
      <c r="E23" s="2"/>
    </row>
    <row r="24" spans="1:5" x14ac:dyDescent="0.2">
      <c r="A24" s="2">
        <v>17</v>
      </c>
      <c r="B24" s="2">
        <v>0</v>
      </c>
      <c r="C24" s="2" t="s">
        <v>32</v>
      </c>
      <c r="D24" s="2" t="str">
        <f t="shared" si="1"/>
        <v>dPDE4D7_DP</v>
      </c>
      <c r="E24" s="2"/>
    </row>
    <row r="25" spans="1:5" x14ac:dyDescent="0.2">
      <c r="A25" s="2">
        <v>18</v>
      </c>
      <c r="B25" s="2">
        <f>53/215.2*0.4*0.7/6*F1</f>
        <v>7.470570012391574E-3</v>
      </c>
      <c r="C25" s="2" t="s">
        <v>33</v>
      </c>
      <c r="D25" s="2" t="str">
        <f t="shared" si="1"/>
        <v>dPDE4D4</v>
      </c>
      <c r="E25" s="2"/>
    </row>
    <row r="26" spans="1:5" x14ac:dyDescent="0.2">
      <c r="A26" s="2">
        <v>19</v>
      </c>
      <c r="B26" s="2">
        <v>0</v>
      </c>
      <c r="C26" s="2" t="s">
        <v>34</v>
      </c>
      <c r="D26" s="2" t="str">
        <f t="shared" si="1"/>
        <v>dPDE4D4_ERK</v>
      </c>
      <c r="E26" s="2"/>
    </row>
    <row r="27" spans="1:5" x14ac:dyDescent="0.2">
      <c r="A27" s="2">
        <v>20</v>
      </c>
      <c r="B27" s="2">
        <v>0</v>
      </c>
      <c r="C27" s="2" t="s">
        <v>35</v>
      </c>
      <c r="D27" s="2" t="str">
        <f t="shared" si="1"/>
        <v>dPDE4D4_PKA</v>
      </c>
      <c r="E27" s="2"/>
    </row>
    <row r="28" spans="1:5" x14ac:dyDescent="0.2">
      <c r="A28" s="2">
        <v>21</v>
      </c>
      <c r="B28" s="2">
        <v>0</v>
      </c>
      <c r="C28" s="2" t="s">
        <v>36</v>
      </c>
      <c r="D28" s="2" t="str">
        <f t="shared" si="1"/>
        <v>dPDE4D4_DP</v>
      </c>
      <c r="E28" s="2"/>
    </row>
    <row r="29" spans="1:5" x14ac:dyDescent="0.2">
      <c r="A29" s="2">
        <v>22</v>
      </c>
      <c r="B29" s="2">
        <f>53/215.2*0.4*0.7/6*F1</f>
        <v>7.470570012391574E-3</v>
      </c>
      <c r="C29" s="2" t="s">
        <v>37</v>
      </c>
      <c r="D29" s="2" t="str">
        <f t="shared" si="1"/>
        <v>dPDE4D5</v>
      </c>
      <c r="E29" s="2"/>
    </row>
    <row r="30" spans="1:5" x14ac:dyDescent="0.2">
      <c r="A30" s="2">
        <v>23</v>
      </c>
      <c r="B30" s="2">
        <v>0</v>
      </c>
      <c r="C30" s="2" t="s">
        <v>38</v>
      </c>
      <c r="D30" s="2" t="str">
        <f t="shared" si="1"/>
        <v>dPDE4D5_ERK</v>
      </c>
      <c r="E30" s="2"/>
    </row>
    <row r="31" spans="1:5" x14ac:dyDescent="0.2">
      <c r="A31" s="2">
        <v>24</v>
      </c>
      <c r="B31" s="2">
        <v>0</v>
      </c>
      <c r="C31" s="2" t="s">
        <v>39</v>
      </c>
      <c r="D31" s="2" t="str">
        <f t="shared" si="1"/>
        <v>dPDE4D5_PKA</v>
      </c>
      <c r="E31" s="2"/>
    </row>
    <row r="32" spans="1:5" x14ac:dyDescent="0.2">
      <c r="A32" s="2">
        <v>25</v>
      </c>
      <c r="B32" s="2">
        <v>0</v>
      </c>
      <c r="C32" s="2" t="s">
        <v>40</v>
      </c>
      <c r="D32" s="2" t="str">
        <f t="shared" si="1"/>
        <v>dPDE4D5_DP</v>
      </c>
      <c r="E32" s="2"/>
    </row>
    <row r="33" spans="1:5" x14ac:dyDescent="0.2">
      <c r="A33" s="2">
        <v>26</v>
      </c>
      <c r="B33" s="2">
        <f>53/215.2*0.4*0.7/6*F1</f>
        <v>7.470570012391574E-3</v>
      </c>
      <c r="C33" s="2" t="s">
        <v>6</v>
      </c>
      <c r="D33" s="2" t="str">
        <f t="shared" si="1"/>
        <v>dPDE4D3</v>
      </c>
      <c r="E33" s="2"/>
    </row>
    <row r="34" spans="1:5" x14ac:dyDescent="0.2">
      <c r="A34" s="2">
        <v>27</v>
      </c>
      <c r="B34" s="2">
        <v>0</v>
      </c>
      <c r="C34" s="2" t="s">
        <v>41</v>
      </c>
      <c r="D34" s="2" t="str">
        <f t="shared" si="1"/>
        <v>dPDE4D3_ERK</v>
      </c>
      <c r="E34" s="2"/>
    </row>
    <row r="35" spans="1:5" x14ac:dyDescent="0.2">
      <c r="A35" s="2">
        <v>28</v>
      </c>
      <c r="B35" s="2">
        <v>0</v>
      </c>
      <c r="C35" s="2" t="s">
        <v>42</v>
      </c>
      <c r="D35" s="2" t="str">
        <f t="shared" si="1"/>
        <v>dPDE4D3_PKA</v>
      </c>
      <c r="E35" s="2"/>
    </row>
    <row r="36" spans="1:5" x14ac:dyDescent="0.2">
      <c r="A36" s="2">
        <v>29</v>
      </c>
      <c r="B36" s="2">
        <v>0</v>
      </c>
      <c r="C36" s="2" t="s">
        <v>43</v>
      </c>
      <c r="D36" s="2" t="str">
        <f t="shared" si="1"/>
        <v>dPDE4D3_DP</v>
      </c>
      <c r="E36" s="2"/>
    </row>
    <row r="37" spans="1:5" x14ac:dyDescent="0.2">
      <c r="A37" s="2">
        <v>30</v>
      </c>
      <c r="B37" s="2">
        <f>53/215.2*0.4*0.7/6*F1</f>
        <v>7.470570012391574E-3</v>
      </c>
      <c r="C37" s="2" t="s">
        <v>44</v>
      </c>
      <c r="D37" s="2" t="str">
        <f t="shared" si="1"/>
        <v>dPDE4D8</v>
      </c>
      <c r="E37" s="2"/>
    </row>
    <row r="38" spans="1:5" x14ac:dyDescent="0.2">
      <c r="A38" s="2">
        <v>31</v>
      </c>
      <c r="B38" s="2">
        <v>0</v>
      </c>
      <c r="C38" s="2" t="s">
        <v>45</v>
      </c>
      <c r="D38" s="2" t="str">
        <f t="shared" si="1"/>
        <v>dPDE4D8_ERK</v>
      </c>
      <c r="E38" s="2"/>
    </row>
    <row r="39" spans="1:5" x14ac:dyDescent="0.2">
      <c r="A39" s="2">
        <v>32</v>
      </c>
      <c r="B39" s="2">
        <v>0</v>
      </c>
      <c r="C39" s="2" t="s">
        <v>7</v>
      </c>
      <c r="D39" s="2" t="str">
        <f t="shared" si="1"/>
        <v>dPDE4D8_PKA</v>
      </c>
      <c r="E39" s="2"/>
    </row>
    <row r="40" spans="1:5" x14ac:dyDescent="0.2">
      <c r="A40" s="2">
        <v>33</v>
      </c>
      <c r="B40" s="2">
        <v>0</v>
      </c>
      <c r="C40" s="2" t="s">
        <v>46</v>
      </c>
      <c r="D40" s="2" t="str">
        <f t="shared" si="1"/>
        <v>dPDE4D8_DP</v>
      </c>
      <c r="E40" s="2"/>
    </row>
    <row r="41" spans="1:5" x14ac:dyDescent="0.2">
      <c r="A41" s="2">
        <v>34</v>
      </c>
      <c r="B41" s="2">
        <f>53/215.2*0.4*0.7/6*F1</f>
        <v>7.470570012391574E-3</v>
      </c>
      <c r="C41" s="2" t="s">
        <v>47</v>
      </c>
      <c r="D41" s="2" t="str">
        <f t="shared" si="1"/>
        <v>dPDE4D9</v>
      </c>
      <c r="E41" s="2"/>
    </row>
    <row r="42" spans="1:5" x14ac:dyDescent="0.2">
      <c r="A42" s="2">
        <v>35</v>
      </c>
      <c r="B42" s="2">
        <v>0</v>
      </c>
      <c r="C42" s="2" t="s">
        <v>48</v>
      </c>
      <c r="D42" s="2" t="str">
        <f t="shared" si="1"/>
        <v>dPDE4D9_ERK</v>
      </c>
      <c r="E42" s="2"/>
    </row>
    <row r="43" spans="1:5" x14ac:dyDescent="0.2">
      <c r="A43" s="2">
        <v>36</v>
      </c>
      <c r="B43" s="2">
        <v>0</v>
      </c>
      <c r="C43" s="2" t="s">
        <v>49</v>
      </c>
      <c r="D43" s="2" t="str">
        <f t="shared" si="1"/>
        <v>dPDE4D9_PKA</v>
      </c>
      <c r="E43" s="2"/>
    </row>
    <row r="44" spans="1:5" x14ac:dyDescent="0.2">
      <c r="A44" s="2">
        <v>37</v>
      </c>
      <c r="B44" s="2">
        <v>0</v>
      </c>
      <c r="C44" s="2" t="s">
        <v>50</v>
      </c>
      <c r="D44" s="2" t="str">
        <f t="shared" si="1"/>
        <v>dPDE4D9_DP</v>
      </c>
      <c r="E44" s="2"/>
    </row>
    <row r="45" spans="1:5" x14ac:dyDescent="0.2">
      <c r="A45" s="2">
        <v>38</v>
      </c>
      <c r="B45" s="2">
        <f>53/215.2*0.4*0.11*F1</f>
        <v>7.0436802973977706E-3</v>
      </c>
      <c r="C45" s="2" t="s">
        <v>51</v>
      </c>
      <c r="D45" s="2" t="str">
        <f t="shared" si="1"/>
        <v>dPDE4D1</v>
      </c>
      <c r="E45" s="2"/>
    </row>
    <row r="46" spans="1:5" x14ac:dyDescent="0.2">
      <c r="A46" s="2">
        <v>39</v>
      </c>
      <c r="B46" s="2">
        <v>0</v>
      </c>
      <c r="C46" s="2" t="s">
        <v>52</v>
      </c>
      <c r="D46" s="2" t="str">
        <f t="shared" si="1"/>
        <v>dPDE4D1_ERK</v>
      </c>
      <c r="E46" s="2"/>
    </row>
    <row r="47" spans="1:5" x14ac:dyDescent="0.2">
      <c r="A47" s="2">
        <v>40</v>
      </c>
      <c r="B47" s="2">
        <v>0</v>
      </c>
      <c r="C47" s="2" t="s">
        <v>53</v>
      </c>
      <c r="D47" s="2" t="str">
        <f t="shared" si="1"/>
        <v>dPDE4D1_PKA</v>
      </c>
      <c r="E47" s="2"/>
    </row>
    <row r="48" spans="1:5" x14ac:dyDescent="0.2">
      <c r="A48" s="2">
        <v>41</v>
      </c>
      <c r="B48" s="2">
        <v>0</v>
      </c>
      <c r="C48" s="2" t="s">
        <v>54</v>
      </c>
      <c r="D48" s="2" t="str">
        <f t="shared" si="1"/>
        <v>dPDE4D1_DP</v>
      </c>
      <c r="E48" s="2"/>
    </row>
    <row r="49" spans="1:5" x14ac:dyDescent="0.2">
      <c r="A49" s="2">
        <v>42</v>
      </c>
      <c r="B49" s="2">
        <f>53/215.2*0.4*0.19/2*F1</f>
        <v>6.083178438661711E-3</v>
      </c>
      <c r="C49" s="2" t="s">
        <v>55</v>
      </c>
      <c r="D49" s="2" t="str">
        <f t="shared" si="1"/>
        <v>dPDE4D2</v>
      </c>
      <c r="E49" s="2"/>
    </row>
    <row r="50" spans="1:5" x14ac:dyDescent="0.2">
      <c r="A50" s="2">
        <v>43</v>
      </c>
      <c r="B50" s="2">
        <v>0</v>
      </c>
      <c r="C50" s="2" t="s">
        <v>8</v>
      </c>
      <c r="D50" s="2" t="str">
        <f t="shared" si="1"/>
        <v>dPDE4D2_ERK</v>
      </c>
      <c r="E50" s="2"/>
    </row>
    <row r="51" spans="1:5" x14ac:dyDescent="0.2">
      <c r="A51" s="2">
        <v>44</v>
      </c>
      <c r="B51" s="2">
        <v>0</v>
      </c>
      <c r="C51" s="2" t="s">
        <v>56</v>
      </c>
      <c r="D51" s="2" t="str">
        <f t="shared" si="1"/>
        <v>dPDE4D2_PKA</v>
      </c>
      <c r="E51" s="2"/>
    </row>
    <row r="52" spans="1:5" x14ac:dyDescent="0.2">
      <c r="A52" s="2">
        <v>45</v>
      </c>
      <c r="B52" s="2">
        <v>0</v>
      </c>
      <c r="C52" s="2" t="s">
        <v>57</v>
      </c>
      <c r="D52" s="2" t="str">
        <f t="shared" si="1"/>
        <v>dPDE4D2_DP</v>
      </c>
      <c r="E52" s="2"/>
    </row>
    <row r="53" spans="1:5" x14ac:dyDescent="0.2">
      <c r="A53" s="2">
        <v>46</v>
      </c>
      <c r="B53" s="2">
        <f>53/215.2*0.4*0.19/2*F1</f>
        <v>6.083178438661711E-3</v>
      </c>
      <c r="C53" s="2" t="s">
        <v>58</v>
      </c>
      <c r="D53" s="2" t="str">
        <f t="shared" si="1"/>
        <v>dPDE4D6</v>
      </c>
      <c r="E53" s="2"/>
    </row>
    <row r="54" spans="1:5" x14ac:dyDescent="0.2">
      <c r="A54" s="2">
        <v>47</v>
      </c>
      <c r="B54" s="2">
        <v>0</v>
      </c>
      <c r="C54" s="2" t="s">
        <v>59</v>
      </c>
      <c r="D54" s="2" t="str">
        <f t="shared" si="1"/>
        <v>dPDE4D6_ERK</v>
      </c>
      <c r="E54" s="2"/>
    </row>
    <row r="55" spans="1:5" x14ac:dyDescent="0.2">
      <c r="A55" s="2">
        <v>48</v>
      </c>
      <c r="B55" s="2">
        <v>0</v>
      </c>
      <c r="C55" s="2" t="s">
        <v>9</v>
      </c>
      <c r="D55" s="2" t="str">
        <f t="shared" si="1"/>
        <v>dPDE4D6_PKA</v>
      </c>
      <c r="E55" s="2"/>
    </row>
    <row r="56" spans="1:5" x14ac:dyDescent="0.2">
      <c r="A56" s="2">
        <v>49</v>
      </c>
      <c r="B56" s="2">
        <v>0</v>
      </c>
      <c r="C56" s="2" t="s">
        <v>60</v>
      </c>
      <c r="D56" s="2" t="str">
        <f t="shared" si="1"/>
        <v>dPDE4D6_DP</v>
      </c>
      <c r="E56" s="2"/>
    </row>
    <row r="57" spans="1:5" x14ac:dyDescent="0.2">
      <c r="A57" s="2">
        <v>50</v>
      </c>
      <c r="B57" s="2">
        <v>0</v>
      </c>
      <c r="C57" s="2" t="s">
        <v>61</v>
      </c>
      <c r="D57" s="2" t="str">
        <f t="shared" si="1"/>
        <v>dPDE4D7_rolipram</v>
      </c>
      <c r="E57" s="2"/>
    </row>
    <row r="58" spans="1:5" x14ac:dyDescent="0.2">
      <c r="A58" s="2">
        <v>51</v>
      </c>
      <c r="B58" s="2">
        <v>0</v>
      </c>
      <c r="C58" s="2" t="s">
        <v>62</v>
      </c>
      <c r="D58" s="2" t="str">
        <f t="shared" si="1"/>
        <v>dPDE4D7_ERK_rolipram</v>
      </c>
      <c r="E58" s="2"/>
    </row>
    <row r="59" spans="1:5" x14ac:dyDescent="0.2">
      <c r="A59" s="2">
        <v>52</v>
      </c>
      <c r="B59" s="2">
        <v>0</v>
      </c>
      <c r="C59" s="2" t="s">
        <v>10</v>
      </c>
      <c r="D59" s="2" t="str">
        <f t="shared" si="1"/>
        <v>dPDE4D7_PKA_rolipram</v>
      </c>
      <c r="E59" s="2"/>
    </row>
    <row r="60" spans="1:5" x14ac:dyDescent="0.2">
      <c r="A60" s="2">
        <v>53</v>
      </c>
      <c r="B60" s="2">
        <v>0</v>
      </c>
      <c r="C60" s="2" t="s">
        <v>63</v>
      </c>
      <c r="D60" s="2" t="str">
        <f t="shared" si="1"/>
        <v>dPDE4D7_DP_rolipram</v>
      </c>
      <c r="E60" s="2"/>
    </row>
    <row r="61" spans="1:5" x14ac:dyDescent="0.2">
      <c r="A61" s="2">
        <v>54</v>
      </c>
      <c r="B61" s="2">
        <v>0</v>
      </c>
      <c r="C61" s="2" t="s">
        <v>64</v>
      </c>
      <c r="D61" s="2" t="str">
        <f t="shared" si="1"/>
        <v>dPDE4D4_rolipram</v>
      </c>
      <c r="E61" s="2"/>
    </row>
    <row r="62" spans="1:5" x14ac:dyDescent="0.2">
      <c r="A62" s="2">
        <v>55</v>
      </c>
      <c r="B62" s="2">
        <v>0</v>
      </c>
      <c r="C62" s="2" t="s">
        <v>65</v>
      </c>
      <c r="D62" s="2" t="str">
        <f t="shared" si="1"/>
        <v>dPDE4D4_ERK_rolipram</v>
      </c>
      <c r="E62" s="2"/>
    </row>
    <row r="63" spans="1:5" x14ac:dyDescent="0.2">
      <c r="A63" s="2">
        <v>56</v>
      </c>
      <c r="B63" s="2">
        <v>0</v>
      </c>
      <c r="C63" s="2" t="s">
        <v>11</v>
      </c>
      <c r="D63" s="2" t="str">
        <f t="shared" si="1"/>
        <v>dPDE4D4_PKA_rolipram</v>
      </c>
      <c r="E63" s="2"/>
    </row>
    <row r="64" spans="1:5" x14ac:dyDescent="0.2">
      <c r="A64" s="2">
        <v>57</v>
      </c>
      <c r="B64" s="2">
        <v>0</v>
      </c>
      <c r="C64" s="2" t="s">
        <v>66</v>
      </c>
      <c r="D64" s="2" t="str">
        <f t="shared" si="1"/>
        <v>dPDE4D4_DP_rolipram</v>
      </c>
      <c r="E64" s="2"/>
    </row>
    <row r="65" spans="1:5" x14ac:dyDescent="0.2">
      <c r="A65" s="2">
        <v>58</v>
      </c>
      <c r="B65" s="2">
        <v>0</v>
      </c>
      <c r="C65" s="2" t="s">
        <v>67</v>
      </c>
      <c r="D65" s="2" t="str">
        <f t="shared" si="1"/>
        <v>dPDE4D5_rolipram</v>
      </c>
      <c r="E65" s="2"/>
    </row>
    <row r="66" spans="1:5" x14ac:dyDescent="0.2">
      <c r="A66" s="2">
        <v>59</v>
      </c>
      <c r="B66" s="2">
        <v>0</v>
      </c>
      <c r="C66" s="2" t="s">
        <v>68</v>
      </c>
      <c r="D66" s="2" t="str">
        <f t="shared" si="1"/>
        <v>dPDE4D5_ERK_rolipram</v>
      </c>
      <c r="E66" s="2"/>
    </row>
    <row r="67" spans="1:5" x14ac:dyDescent="0.2">
      <c r="A67" s="2">
        <v>60</v>
      </c>
      <c r="B67" s="2">
        <v>0</v>
      </c>
      <c r="C67" s="2" t="s">
        <v>12</v>
      </c>
      <c r="D67" s="2" t="str">
        <f t="shared" si="1"/>
        <v>dPDE4D5_PKA_rolipram</v>
      </c>
      <c r="E67" s="2"/>
    </row>
    <row r="68" spans="1:5" x14ac:dyDescent="0.2">
      <c r="A68" s="2">
        <v>61</v>
      </c>
      <c r="B68" s="2">
        <v>0</v>
      </c>
      <c r="C68" s="2" t="s">
        <v>69</v>
      </c>
      <c r="D68" s="2" t="str">
        <f t="shared" si="1"/>
        <v>dPDE4D5_DP_rolipram</v>
      </c>
      <c r="E68" s="2"/>
    </row>
    <row r="69" spans="1:5" x14ac:dyDescent="0.2">
      <c r="A69" s="2">
        <v>62</v>
      </c>
      <c r="B69" s="2">
        <v>0</v>
      </c>
      <c r="C69" s="2" t="s">
        <v>70</v>
      </c>
      <c r="D69" s="2" t="str">
        <f t="shared" si="1"/>
        <v>dPDE4D3_rolipram</v>
      </c>
      <c r="E69" s="2"/>
    </row>
    <row r="70" spans="1:5" x14ac:dyDescent="0.2">
      <c r="A70" s="2">
        <v>63</v>
      </c>
      <c r="B70" s="2">
        <v>0</v>
      </c>
      <c r="C70" s="2" t="s">
        <v>71</v>
      </c>
      <c r="D70" s="2" t="str">
        <f t="shared" si="1"/>
        <v>dPDE4D3_ERK_rolipram</v>
      </c>
      <c r="E70" s="2"/>
    </row>
    <row r="71" spans="1:5" x14ac:dyDescent="0.2">
      <c r="A71" s="2">
        <v>64</v>
      </c>
      <c r="B71" s="2">
        <v>0</v>
      </c>
      <c r="C71" s="2" t="s">
        <v>13</v>
      </c>
      <c r="D71" s="2" t="str">
        <f t="shared" si="1"/>
        <v>dPDE4D3_PKA_rolipram</v>
      </c>
      <c r="E71" s="2"/>
    </row>
    <row r="72" spans="1:5" x14ac:dyDescent="0.2">
      <c r="A72" s="2">
        <v>65</v>
      </c>
      <c r="B72" s="2">
        <v>0</v>
      </c>
      <c r="C72" s="2" t="s">
        <v>72</v>
      </c>
      <c r="D72" s="2" t="str">
        <f t="shared" si="1"/>
        <v>dPDE4D3_DP_rolipram</v>
      </c>
      <c r="E72" s="2"/>
    </row>
    <row r="73" spans="1:5" x14ac:dyDescent="0.2">
      <c r="A73" s="2">
        <v>66</v>
      </c>
      <c r="B73" s="2">
        <v>0</v>
      </c>
      <c r="C73" s="2" t="s">
        <v>73</v>
      </c>
      <c r="D73" s="2" t="str">
        <f t="shared" ref="D73:D93" si="2">"d"&amp;C73</f>
        <v>dPDE4D8_rolipram</v>
      </c>
      <c r="E73" s="2"/>
    </row>
    <row r="74" spans="1:5" x14ac:dyDescent="0.2">
      <c r="A74" s="2">
        <v>67</v>
      </c>
      <c r="B74" s="2">
        <v>0</v>
      </c>
      <c r="C74" s="2" t="s">
        <v>74</v>
      </c>
      <c r="D74" s="2" t="str">
        <f t="shared" si="2"/>
        <v>dPDE4D8_ERK_rolipram</v>
      </c>
      <c r="E74" s="2"/>
    </row>
    <row r="75" spans="1:5" x14ac:dyDescent="0.2">
      <c r="A75" s="2">
        <v>68</v>
      </c>
      <c r="B75" s="2">
        <v>0</v>
      </c>
      <c r="C75" s="2" t="s">
        <v>14</v>
      </c>
      <c r="D75" s="2" t="str">
        <f t="shared" si="2"/>
        <v>dPDE4D8_PKA_rolipram</v>
      </c>
      <c r="E75" s="2"/>
    </row>
    <row r="76" spans="1:5" x14ac:dyDescent="0.2">
      <c r="A76" s="2">
        <v>69</v>
      </c>
      <c r="B76" s="2">
        <v>0</v>
      </c>
      <c r="C76" s="2" t="s">
        <v>75</v>
      </c>
      <c r="D76" s="2" t="str">
        <f t="shared" si="2"/>
        <v>dPDE4D8_DP_rolipram</v>
      </c>
      <c r="E76" s="2"/>
    </row>
    <row r="77" spans="1:5" x14ac:dyDescent="0.2">
      <c r="A77" s="2">
        <v>70</v>
      </c>
      <c r="B77" s="2">
        <v>0</v>
      </c>
      <c r="C77" s="2" t="s">
        <v>76</v>
      </c>
      <c r="D77" s="2" t="str">
        <f t="shared" si="2"/>
        <v>dPDE4D9_rolipram</v>
      </c>
      <c r="E77" s="2"/>
    </row>
    <row r="78" spans="1:5" x14ac:dyDescent="0.2">
      <c r="A78" s="2">
        <v>71</v>
      </c>
      <c r="B78" s="2">
        <v>0</v>
      </c>
      <c r="C78" s="2" t="s">
        <v>77</v>
      </c>
      <c r="D78" s="2" t="str">
        <f t="shared" si="2"/>
        <v>dPDE4D9_ERK_rolipram</v>
      </c>
      <c r="E78" s="2"/>
    </row>
    <row r="79" spans="1:5" x14ac:dyDescent="0.2">
      <c r="A79" s="2">
        <v>72</v>
      </c>
      <c r="B79" s="2">
        <v>0</v>
      </c>
      <c r="C79" s="2" t="s">
        <v>15</v>
      </c>
      <c r="D79" s="2" t="str">
        <f t="shared" si="2"/>
        <v>dPDE4D9_PKA_rolipram</v>
      </c>
      <c r="E79" s="2"/>
    </row>
    <row r="80" spans="1:5" x14ac:dyDescent="0.2">
      <c r="A80" s="2">
        <v>73</v>
      </c>
      <c r="B80" s="2">
        <v>0</v>
      </c>
      <c r="C80" s="2" t="s">
        <v>78</v>
      </c>
      <c r="D80" s="2" t="str">
        <f t="shared" si="2"/>
        <v>dPDE4D9_DP_rolipram</v>
      </c>
      <c r="E80" s="2"/>
    </row>
    <row r="81" spans="1:5" x14ac:dyDescent="0.2">
      <c r="A81" s="2">
        <v>74</v>
      </c>
      <c r="B81" s="2">
        <v>0</v>
      </c>
      <c r="C81" s="2" t="s">
        <v>79</v>
      </c>
      <c r="D81" s="2" t="str">
        <f t="shared" si="2"/>
        <v>dPDE4D1_rolipram</v>
      </c>
      <c r="E81" s="2"/>
    </row>
    <row r="82" spans="1:5" x14ac:dyDescent="0.2">
      <c r="A82" s="2">
        <v>75</v>
      </c>
      <c r="B82" s="2">
        <v>0</v>
      </c>
      <c r="C82" s="2" t="s">
        <v>80</v>
      </c>
      <c r="D82" s="2" t="str">
        <f t="shared" si="2"/>
        <v>dPDE4D1_ERK_rolipram</v>
      </c>
      <c r="E82" s="2"/>
    </row>
    <row r="83" spans="1:5" x14ac:dyDescent="0.2">
      <c r="A83" s="2">
        <v>76</v>
      </c>
      <c r="B83" s="2">
        <v>0</v>
      </c>
      <c r="C83" s="2" t="s">
        <v>16</v>
      </c>
      <c r="D83" s="2" t="str">
        <f t="shared" si="2"/>
        <v>dPDE4D2_rolipram</v>
      </c>
      <c r="E83" s="2"/>
    </row>
    <row r="84" spans="1:5" x14ac:dyDescent="0.2">
      <c r="A84" s="2">
        <v>77</v>
      </c>
      <c r="B84" s="2">
        <v>0</v>
      </c>
      <c r="C84" s="2" t="s">
        <v>81</v>
      </c>
      <c r="D84" s="2" t="str">
        <f t="shared" si="2"/>
        <v>dPDE4D2_ERK_rolipram</v>
      </c>
      <c r="E84" s="2"/>
    </row>
    <row r="85" spans="1:5" x14ac:dyDescent="0.2">
      <c r="A85" s="2">
        <v>78</v>
      </c>
      <c r="B85" s="2">
        <v>0</v>
      </c>
      <c r="C85" s="2" t="s">
        <v>82</v>
      </c>
      <c r="D85" s="2" t="str">
        <f t="shared" si="2"/>
        <v>dPDE4D6_rolipram</v>
      </c>
      <c r="E85" s="2"/>
    </row>
    <row r="86" spans="1:5" x14ac:dyDescent="0.2">
      <c r="A86" s="2">
        <v>79</v>
      </c>
      <c r="B86" s="2">
        <v>0</v>
      </c>
      <c r="C86" s="2" t="s">
        <v>83</v>
      </c>
      <c r="D86" s="2" t="str">
        <f t="shared" si="2"/>
        <v>dPDE4D6_ERK_rolipram</v>
      </c>
      <c r="E86" s="2"/>
    </row>
    <row r="87" spans="1:5" x14ac:dyDescent="0.2">
      <c r="A87" s="2">
        <v>80</v>
      </c>
      <c r="B87" s="2">
        <v>8.5000000000000006E-2</v>
      </c>
      <c r="C87" s="2" t="s">
        <v>17</v>
      </c>
      <c r="D87" s="2" t="str">
        <f t="shared" si="2"/>
        <v>dCREB</v>
      </c>
      <c r="E87" s="2"/>
    </row>
    <row r="88" spans="1:5" x14ac:dyDescent="0.2">
      <c r="A88" s="2">
        <v>81</v>
      </c>
      <c r="B88" s="2">
        <v>1.4999999999999999E-2</v>
      </c>
      <c r="C88" s="2" t="s">
        <v>84</v>
      </c>
      <c r="D88" s="2" t="str">
        <f t="shared" si="2"/>
        <v>dpCREB</v>
      </c>
      <c r="E88" s="2"/>
    </row>
    <row r="89" spans="1:5" x14ac:dyDescent="0.2">
      <c r="A89" s="2">
        <v>82</v>
      </c>
      <c r="B89" s="2">
        <f>47/215.2*0.4</f>
        <v>8.7360594795539037E-2</v>
      </c>
      <c r="C89" s="2" t="s">
        <v>85</v>
      </c>
      <c r="D89" s="2" t="str">
        <f t="shared" si="2"/>
        <v>dPDE4A</v>
      </c>
      <c r="E89" s="2"/>
    </row>
    <row r="90" spans="1:5" x14ac:dyDescent="0.2">
      <c r="A90" s="2">
        <v>83</v>
      </c>
      <c r="B90" s="2">
        <v>0</v>
      </c>
      <c r="C90" s="2" t="s">
        <v>86</v>
      </c>
      <c r="D90" s="2" t="str">
        <f t="shared" si="2"/>
        <v>dPDE4A_rolipram</v>
      </c>
      <c r="E90" s="2"/>
    </row>
    <row r="91" spans="1:5" x14ac:dyDescent="0.2">
      <c r="A91" s="2">
        <v>84</v>
      </c>
      <c r="B91" s="2">
        <f>115.2/215.2*0.4</f>
        <v>0.21412639405204464</v>
      </c>
      <c r="C91" s="2" t="s">
        <v>87</v>
      </c>
      <c r="D91" s="2" t="str">
        <f t="shared" si="2"/>
        <v>dPDE4B</v>
      </c>
      <c r="E91" s="2"/>
    </row>
    <row r="92" spans="1:5" x14ac:dyDescent="0.2">
      <c r="A92" s="2">
        <v>85</v>
      </c>
      <c r="B92" s="2">
        <v>0</v>
      </c>
      <c r="C92" s="2" t="s">
        <v>88</v>
      </c>
      <c r="D92" s="2" t="str">
        <f t="shared" si="2"/>
        <v>dPDE4B_rolipram</v>
      </c>
      <c r="E92" s="2"/>
    </row>
    <row r="93" spans="1:5" x14ac:dyDescent="0.2">
      <c r="A93" s="2">
        <v>86</v>
      </c>
      <c r="B93" s="2">
        <v>0</v>
      </c>
      <c r="C93" s="2" t="s">
        <v>89</v>
      </c>
      <c r="D93" s="2" t="str">
        <f t="shared" si="2"/>
        <v>drolipram</v>
      </c>
      <c r="E93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16A5-BC0C-48B1-9D38-9B352AEFF86E}">
  <dimension ref="A1:E93"/>
  <sheetViews>
    <sheetView workbookViewId="0">
      <selection activeCell="B53" sqref="B53"/>
    </sheetView>
  </sheetViews>
  <sheetFormatPr baseColWidth="10" defaultColWidth="8.83203125" defaultRowHeight="15" x14ac:dyDescent="0.2"/>
  <cols>
    <col min="3" max="3" width="26.6640625" customWidth="1"/>
    <col min="4" max="4" width="23" customWidth="1"/>
    <col min="5" max="5" width="95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90</v>
      </c>
      <c r="E1" s="1" t="s">
        <v>92</v>
      </c>
    </row>
    <row r="2" spans="1:5" x14ac:dyDescent="0.2">
      <c r="A2" s="1"/>
      <c r="B2" s="1">
        <v>-65</v>
      </c>
      <c r="C2" s="1" t="s">
        <v>481</v>
      </c>
      <c r="D2" s="1" t="str">
        <f>"d"&amp;C2</f>
        <v>dV</v>
      </c>
      <c r="E2" s="1"/>
    </row>
    <row r="3" spans="1:5" x14ac:dyDescent="0.2">
      <c r="A3" s="1"/>
      <c r="B3" s="1">
        <v>1</v>
      </c>
      <c r="C3" s="1" t="s">
        <v>482</v>
      </c>
      <c r="D3" s="1" t="str">
        <f t="shared" ref="D3:D6" si="0">"d"&amp;C3</f>
        <v>dh</v>
      </c>
      <c r="E3" s="1"/>
    </row>
    <row r="4" spans="1:5" x14ac:dyDescent="0.2">
      <c r="A4" s="1"/>
      <c r="B4" s="1">
        <v>0</v>
      </c>
      <c r="C4" s="1" t="s">
        <v>483</v>
      </c>
      <c r="D4" s="1" t="str">
        <f t="shared" si="0"/>
        <v>ds</v>
      </c>
      <c r="E4" s="1"/>
    </row>
    <row r="5" spans="1:5" x14ac:dyDescent="0.2">
      <c r="A5" s="1"/>
      <c r="B5" s="1">
        <v>0</v>
      </c>
      <c r="C5" s="1" t="s">
        <v>484</v>
      </c>
      <c r="D5" s="1" t="str">
        <f t="shared" si="0"/>
        <v>dr</v>
      </c>
      <c r="E5" s="1"/>
    </row>
    <row r="6" spans="1:5" x14ac:dyDescent="0.2">
      <c r="A6" s="1"/>
      <c r="B6" s="1">
        <v>0</v>
      </c>
      <c r="C6" s="1" t="s">
        <v>485</v>
      </c>
      <c r="D6" s="1" t="str">
        <f t="shared" si="0"/>
        <v>dw</v>
      </c>
      <c r="E6" s="1"/>
    </row>
    <row r="7" spans="1:5" ht="16" x14ac:dyDescent="0.2">
      <c r="A7" s="2">
        <v>0</v>
      </c>
      <c r="B7" s="2">
        <v>1</v>
      </c>
      <c r="C7" s="3" t="s">
        <v>3</v>
      </c>
      <c r="D7" s="2" t="str">
        <f>"d"&amp;C7</f>
        <v>dcAMP</v>
      </c>
      <c r="E7" s="2"/>
    </row>
    <row r="8" spans="1:5" x14ac:dyDescent="0.2">
      <c r="A8" s="2">
        <v>1</v>
      </c>
      <c r="B8" s="2">
        <v>0</v>
      </c>
      <c r="C8" s="2" t="s">
        <v>19</v>
      </c>
      <c r="D8" s="2" t="str">
        <f>"d"&amp;C8</f>
        <v>dAMP</v>
      </c>
      <c r="E8" s="2"/>
    </row>
    <row r="9" spans="1:5" x14ac:dyDescent="0.2">
      <c r="A9" s="2">
        <v>2</v>
      </c>
      <c r="B9" s="2">
        <v>0.48799999999999999</v>
      </c>
      <c r="C9" s="2" t="s">
        <v>18</v>
      </c>
      <c r="D9" s="2" t="str">
        <f t="shared" ref="D9:D72" si="1">"d"&amp;C9</f>
        <v>dEpac</v>
      </c>
      <c r="E9" s="2"/>
    </row>
    <row r="10" spans="1:5" x14ac:dyDescent="0.2">
      <c r="A10" s="2">
        <v>3</v>
      </c>
      <c r="B10" s="2">
        <v>0</v>
      </c>
      <c r="C10" s="2" t="s">
        <v>20</v>
      </c>
      <c r="D10" s="2" t="str">
        <f t="shared" si="1"/>
        <v>dEpac_ON</v>
      </c>
      <c r="E10" s="2"/>
    </row>
    <row r="11" spans="1:5" x14ac:dyDescent="0.2">
      <c r="A11" s="2">
        <v>4</v>
      </c>
      <c r="B11" s="2">
        <v>0.2</v>
      </c>
      <c r="C11" s="2" t="s">
        <v>21</v>
      </c>
      <c r="D11" s="2" t="str">
        <f t="shared" si="1"/>
        <v>dRAP1_GDP</v>
      </c>
      <c r="E11" s="2"/>
    </row>
    <row r="12" spans="1:5" x14ac:dyDescent="0.2">
      <c r="A12" s="2">
        <v>5</v>
      </c>
      <c r="B12" s="2">
        <v>0</v>
      </c>
      <c r="C12" s="2" t="s">
        <v>22</v>
      </c>
      <c r="D12" s="2" t="str">
        <f t="shared" si="1"/>
        <v>dRAP1_GTP</v>
      </c>
      <c r="E12" s="2"/>
    </row>
    <row r="13" spans="1:5" x14ac:dyDescent="0.2">
      <c r="A13" s="2">
        <v>6</v>
      </c>
      <c r="B13" s="2">
        <v>0.8</v>
      </c>
      <c r="C13" s="2" t="s">
        <v>23</v>
      </c>
      <c r="D13" s="2" t="str">
        <f t="shared" si="1"/>
        <v>dERK</v>
      </c>
      <c r="E13" s="2"/>
    </row>
    <row r="14" spans="1:5" x14ac:dyDescent="0.2">
      <c r="A14" s="2">
        <v>7</v>
      </c>
      <c r="B14" s="2">
        <v>0</v>
      </c>
      <c r="C14" s="2" t="s">
        <v>24</v>
      </c>
      <c r="D14" s="2" t="str">
        <f t="shared" si="1"/>
        <v>dpERK</v>
      </c>
      <c r="E14" s="2"/>
    </row>
    <row r="15" spans="1:5" x14ac:dyDescent="0.2">
      <c r="A15" s="2">
        <v>8</v>
      </c>
      <c r="B15" s="2">
        <v>0</v>
      </c>
      <c r="C15" s="2" t="s">
        <v>25</v>
      </c>
      <c r="D15" s="2" t="str">
        <f t="shared" si="1"/>
        <v>dERK_dimer</v>
      </c>
      <c r="E15" s="2"/>
    </row>
    <row r="16" spans="1:5" x14ac:dyDescent="0.2">
      <c r="A16" s="2">
        <v>9</v>
      </c>
      <c r="B16" s="2">
        <v>0</v>
      </c>
      <c r="C16" s="2" t="s">
        <v>4</v>
      </c>
      <c r="D16" s="2" t="str">
        <f t="shared" si="1"/>
        <v>dC1</v>
      </c>
      <c r="E16" s="2"/>
    </row>
    <row r="17" spans="1:5" x14ac:dyDescent="0.2">
      <c r="A17" s="2">
        <v>10</v>
      </c>
      <c r="B17" s="2">
        <v>0.17299999999999999</v>
      </c>
      <c r="C17" s="2" t="s">
        <v>26</v>
      </c>
      <c r="D17" s="2" t="str">
        <f t="shared" si="1"/>
        <v>dPKA_tet</v>
      </c>
      <c r="E17" s="2"/>
    </row>
    <row r="18" spans="1:5" x14ac:dyDescent="0.2">
      <c r="A18" s="2">
        <v>11</v>
      </c>
      <c r="B18" s="2">
        <v>2.3E-2</v>
      </c>
      <c r="C18" s="2" t="s">
        <v>27</v>
      </c>
      <c r="D18" s="2" t="str">
        <f t="shared" si="1"/>
        <v>dPKA_reg</v>
      </c>
      <c r="E18" s="2"/>
    </row>
    <row r="19" spans="1:5" x14ac:dyDescent="0.2">
      <c r="A19" s="2">
        <v>12</v>
      </c>
      <c r="B19" s="2">
        <v>2.3E-2</v>
      </c>
      <c r="C19" s="2" t="s">
        <v>28</v>
      </c>
      <c r="D19" s="2" t="str">
        <f t="shared" si="1"/>
        <v>dPKA_cat</v>
      </c>
      <c r="E19" s="2"/>
    </row>
    <row r="20" spans="1:5" x14ac:dyDescent="0.2">
      <c r="A20" s="2">
        <v>13</v>
      </c>
      <c r="B20" s="2">
        <v>0</v>
      </c>
      <c r="C20" s="2" t="s">
        <v>29</v>
      </c>
      <c r="D20" s="2" t="str">
        <f t="shared" si="1"/>
        <v>dPKA_cat1</v>
      </c>
      <c r="E20" s="2"/>
    </row>
    <row r="21" spans="1:5" ht="16" x14ac:dyDescent="0.2">
      <c r="A21" s="2">
        <v>14</v>
      </c>
      <c r="B21" s="2">
        <f>53/215.2*0.4*0.7/6*2</f>
        <v>2.2986369268897151E-2</v>
      </c>
      <c r="C21" s="2" t="s">
        <v>30</v>
      </c>
      <c r="D21" s="2" t="str">
        <f t="shared" si="1"/>
        <v>dPDE4D7</v>
      </c>
      <c r="E21" s="3" t="s">
        <v>91</v>
      </c>
    </row>
    <row r="22" spans="1:5" x14ac:dyDescent="0.2">
      <c r="A22" s="2">
        <v>15</v>
      </c>
      <c r="B22" s="2">
        <v>0</v>
      </c>
      <c r="C22" s="2" t="s">
        <v>31</v>
      </c>
      <c r="D22" s="2" t="str">
        <f t="shared" si="1"/>
        <v>dPDE4D7_ERK</v>
      </c>
      <c r="E22" s="2"/>
    </row>
    <row r="23" spans="1:5" x14ac:dyDescent="0.2">
      <c r="A23" s="2">
        <v>16</v>
      </c>
      <c r="B23" s="2">
        <v>0</v>
      </c>
      <c r="C23" s="2" t="s">
        <v>5</v>
      </c>
      <c r="D23" s="2" t="str">
        <f t="shared" si="1"/>
        <v>dPDE4D7_PKA</v>
      </c>
      <c r="E23" s="2"/>
    </row>
    <row r="24" spans="1:5" x14ac:dyDescent="0.2">
      <c r="A24" s="2">
        <v>17</v>
      </c>
      <c r="B24" s="2">
        <v>0</v>
      </c>
      <c r="C24" s="2" t="s">
        <v>32</v>
      </c>
      <c r="D24" s="2" t="str">
        <f t="shared" si="1"/>
        <v>dPDE4D7_DP</v>
      </c>
      <c r="E24" s="2"/>
    </row>
    <row r="25" spans="1:5" x14ac:dyDescent="0.2">
      <c r="A25" s="2">
        <v>18</v>
      </c>
      <c r="B25" s="2">
        <f>53/215.2*0.4*0.7/6*2</f>
        <v>2.2986369268897151E-2</v>
      </c>
      <c r="C25" s="2" t="s">
        <v>33</v>
      </c>
      <c r="D25" s="2" t="str">
        <f t="shared" si="1"/>
        <v>dPDE4D4</v>
      </c>
      <c r="E25" s="2"/>
    </row>
    <row r="26" spans="1:5" x14ac:dyDescent="0.2">
      <c r="A26" s="2">
        <v>19</v>
      </c>
      <c r="B26" s="2">
        <v>0</v>
      </c>
      <c r="C26" s="2" t="s">
        <v>34</v>
      </c>
      <c r="D26" s="2" t="str">
        <f t="shared" si="1"/>
        <v>dPDE4D4_ERK</v>
      </c>
      <c r="E26" s="2"/>
    </row>
    <row r="27" spans="1:5" x14ac:dyDescent="0.2">
      <c r="A27" s="2">
        <v>20</v>
      </c>
      <c r="B27" s="2">
        <v>0</v>
      </c>
      <c r="C27" s="2" t="s">
        <v>35</v>
      </c>
      <c r="D27" s="2" t="str">
        <f t="shared" si="1"/>
        <v>dPDE4D4_PKA</v>
      </c>
      <c r="E27" s="2"/>
    </row>
    <row r="28" spans="1:5" x14ac:dyDescent="0.2">
      <c r="A28" s="2">
        <v>21</v>
      </c>
      <c r="B28" s="2">
        <v>0</v>
      </c>
      <c r="C28" s="2" t="s">
        <v>36</v>
      </c>
      <c r="D28" s="2" t="str">
        <f t="shared" si="1"/>
        <v>dPDE4D4_DP</v>
      </c>
      <c r="E28" s="2"/>
    </row>
    <row r="29" spans="1:5" x14ac:dyDescent="0.2">
      <c r="A29" s="2">
        <v>22</v>
      </c>
      <c r="B29" s="2">
        <f>53/215.2*0.4*0.7/6*2</f>
        <v>2.2986369268897151E-2</v>
      </c>
      <c r="C29" s="2" t="s">
        <v>37</v>
      </c>
      <c r="D29" s="2" t="str">
        <f t="shared" si="1"/>
        <v>dPDE4D5</v>
      </c>
      <c r="E29" s="2"/>
    </row>
    <row r="30" spans="1:5" x14ac:dyDescent="0.2">
      <c r="A30" s="2">
        <v>23</v>
      </c>
      <c r="B30" s="2">
        <v>0</v>
      </c>
      <c r="C30" s="2" t="s">
        <v>38</v>
      </c>
      <c r="D30" s="2" t="str">
        <f t="shared" si="1"/>
        <v>dPDE4D5_ERK</v>
      </c>
      <c r="E30" s="2"/>
    </row>
    <row r="31" spans="1:5" x14ac:dyDescent="0.2">
      <c r="A31" s="2">
        <v>24</v>
      </c>
      <c r="B31" s="2">
        <v>0</v>
      </c>
      <c r="C31" s="2" t="s">
        <v>39</v>
      </c>
      <c r="D31" s="2" t="str">
        <f t="shared" si="1"/>
        <v>dPDE4D5_PKA</v>
      </c>
      <c r="E31" s="2"/>
    </row>
    <row r="32" spans="1:5" x14ac:dyDescent="0.2">
      <c r="A32" s="2">
        <v>25</v>
      </c>
      <c r="B32" s="2">
        <v>0</v>
      </c>
      <c r="C32" s="2" t="s">
        <v>40</v>
      </c>
      <c r="D32" s="2" t="str">
        <f t="shared" si="1"/>
        <v>dPDE4D5_DP</v>
      </c>
      <c r="E32" s="2"/>
    </row>
    <row r="33" spans="1:5" x14ac:dyDescent="0.2">
      <c r="A33" s="2">
        <v>26</v>
      </c>
      <c r="B33" s="2">
        <f>53/215.2*0.4*0.7/6*2</f>
        <v>2.2986369268897151E-2</v>
      </c>
      <c r="C33" s="2" t="s">
        <v>6</v>
      </c>
      <c r="D33" s="2" t="str">
        <f t="shared" si="1"/>
        <v>dPDE4D3</v>
      </c>
      <c r="E33" s="2"/>
    </row>
    <row r="34" spans="1:5" x14ac:dyDescent="0.2">
      <c r="A34" s="2">
        <v>27</v>
      </c>
      <c r="B34" s="2">
        <v>0</v>
      </c>
      <c r="C34" s="2" t="s">
        <v>41</v>
      </c>
      <c r="D34" s="2" t="str">
        <f t="shared" si="1"/>
        <v>dPDE4D3_ERK</v>
      </c>
      <c r="E34" s="2"/>
    </row>
    <row r="35" spans="1:5" x14ac:dyDescent="0.2">
      <c r="A35" s="2">
        <v>28</v>
      </c>
      <c r="B35" s="2">
        <v>0</v>
      </c>
      <c r="C35" s="2" t="s">
        <v>42</v>
      </c>
      <c r="D35" s="2" t="str">
        <f t="shared" si="1"/>
        <v>dPDE4D3_PKA</v>
      </c>
      <c r="E35" s="2"/>
    </row>
    <row r="36" spans="1:5" x14ac:dyDescent="0.2">
      <c r="A36" s="2">
        <v>29</v>
      </c>
      <c r="B36" s="2">
        <v>0</v>
      </c>
      <c r="C36" s="2" t="s">
        <v>43</v>
      </c>
      <c r="D36" s="2" t="str">
        <f t="shared" si="1"/>
        <v>dPDE4D3_DP</v>
      </c>
      <c r="E36" s="2"/>
    </row>
    <row r="37" spans="1:5" x14ac:dyDescent="0.2">
      <c r="A37" s="2">
        <v>30</v>
      </c>
      <c r="B37" s="2">
        <f>53/215.2*0.4*0.7/6*2</f>
        <v>2.2986369268897151E-2</v>
      </c>
      <c r="C37" s="2" t="s">
        <v>44</v>
      </c>
      <c r="D37" s="2" t="str">
        <f t="shared" si="1"/>
        <v>dPDE4D8</v>
      </c>
      <c r="E37" s="2"/>
    </row>
    <row r="38" spans="1:5" x14ac:dyDescent="0.2">
      <c r="A38" s="2">
        <v>31</v>
      </c>
      <c r="B38" s="2">
        <v>0</v>
      </c>
      <c r="C38" s="2" t="s">
        <v>45</v>
      </c>
      <c r="D38" s="2" t="str">
        <f t="shared" si="1"/>
        <v>dPDE4D8_ERK</v>
      </c>
      <c r="E38" s="2"/>
    </row>
    <row r="39" spans="1:5" x14ac:dyDescent="0.2">
      <c r="A39" s="2">
        <v>32</v>
      </c>
      <c r="B39" s="2">
        <v>0</v>
      </c>
      <c r="C39" s="2" t="s">
        <v>7</v>
      </c>
      <c r="D39" s="2" t="str">
        <f t="shared" si="1"/>
        <v>dPDE4D8_PKA</v>
      </c>
      <c r="E39" s="2"/>
    </row>
    <row r="40" spans="1:5" x14ac:dyDescent="0.2">
      <c r="A40" s="2">
        <v>33</v>
      </c>
      <c r="B40" s="2">
        <v>0</v>
      </c>
      <c r="C40" s="2" t="s">
        <v>46</v>
      </c>
      <c r="D40" s="2" t="str">
        <f t="shared" si="1"/>
        <v>dPDE4D8_DP</v>
      </c>
      <c r="E40" s="2"/>
    </row>
    <row r="41" spans="1:5" x14ac:dyDescent="0.2">
      <c r="A41" s="2">
        <v>34</v>
      </c>
      <c r="B41" s="2">
        <f>53/215.2*0.4*0.7/6*2</f>
        <v>2.2986369268897151E-2</v>
      </c>
      <c r="C41" s="2" t="s">
        <v>47</v>
      </c>
      <c r="D41" s="2" t="str">
        <f t="shared" si="1"/>
        <v>dPDE4D9</v>
      </c>
      <c r="E41" s="2"/>
    </row>
    <row r="42" spans="1:5" x14ac:dyDescent="0.2">
      <c r="A42" s="2">
        <v>35</v>
      </c>
      <c r="B42" s="2">
        <v>0</v>
      </c>
      <c r="C42" s="2" t="s">
        <v>48</v>
      </c>
      <c r="D42" s="2" t="str">
        <f t="shared" si="1"/>
        <v>dPDE4D9_ERK</v>
      </c>
      <c r="E42" s="2"/>
    </row>
    <row r="43" spans="1:5" x14ac:dyDescent="0.2">
      <c r="A43" s="2">
        <v>36</v>
      </c>
      <c r="B43" s="2">
        <v>0</v>
      </c>
      <c r="C43" s="2" t="s">
        <v>49</v>
      </c>
      <c r="D43" s="2" t="str">
        <f t="shared" si="1"/>
        <v>dPDE4D9_PKA</v>
      </c>
      <c r="E43" s="2"/>
    </row>
    <row r="44" spans="1:5" x14ac:dyDescent="0.2">
      <c r="A44" s="2">
        <v>37</v>
      </c>
      <c r="B44" s="2">
        <v>0</v>
      </c>
      <c r="C44" s="2" t="s">
        <v>50</v>
      </c>
      <c r="D44" s="2" t="str">
        <f t="shared" si="1"/>
        <v>dPDE4D9_DP</v>
      </c>
      <c r="E44" s="2"/>
    </row>
    <row r="45" spans="1:5" x14ac:dyDescent="0.2">
      <c r="A45" s="2">
        <v>38</v>
      </c>
      <c r="B45" s="2">
        <f>53/215.2*0.4*0.11*2</f>
        <v>2.1672862453531602E-2</v>
      </c>
      <c r="C45" s="2" t="s">
        <v>51</v>
      </c>
      <c r="D45" s="2" t="str">
        <f t="shared" si="1"/>
        <v>dPDE4D1</v>
      </c>
      <c r="E45" s="2"/>
    </row>
    <row r="46" spans="1:5" x14ac:dyDescent="0.2">
      <c r="A46" s="2">
        <v>39</v>
      </c>
      <c r="B46" s="2">
        <v>0</v>
      </c>
      <c r="C46" s="2" t="s">
        <v>52</v>
      </c>
      <c r="D46" s="2" t="str">
        <f t="shared" si="1"/>
        <v>dPDE4D1_ERK</v>
      </c>
      <c r="E46" s="2"/>
    </row>
    <row r="47" spans="1:5" x14ac:dyDescent="0.2">
      <c r="A47" s="2">
        <v>40</v>
      </c>
      <c r="B47" s="2">
        <v>0</v>
      </c>
      <c r="C47" s="2" t="s">
        <v>53</v>
      </c>
      <c r="D47" s="2" t="str">
        <f t="shared" si="1"/>
        <v>dPDE4D1_PKA</v>
      </c>
      <c r="E47" s="2"/>
    </row>
    <row r="48" spans="1:5" x14ac:dyDescent="0.2">
      <c r="A48" s="2">
        <v>41</v>
      </c>
      <c r="B48" s="2">
        <v>0</v>
      </c>
      <c r="C48" s="2" t="s">
        <v>54</v>
      </c>
      <c r="D48" s="2" t="str">
        <f t="shared" si="1"/>
        <v>dPDE4D1_DP</v>
      </c>
      <c r="E48" s="2"/>
    </row>
    <row r="49" spans="1:5" x14ac:dyDescent="0.2">
      <c r="A49" s="2">
        <v>42</v>
      </c>
      <c r="B49" s="2">
        <f>53/215.2*0.4*0.19/2*2</f>
        <v>1.8717472118959109E-2</v>
      </c>
      <c r="C49" s="2" t="s">
        <v>55</v>
      </c>
      <c r="D49" s="2" t="str">
        <f t="shared" si="1"/>
        <v>dPDE4D2</v>
      </c>
      <c r="E49" s="2"/>
    </row>
    <row r="50" spans="1:5" x14ac:dyDescent="0.2">
      <c r="A50" s="2">
        <v>43</v>
      </c>
      <c r="B50" s="2">
        <v>0</v>
      </c>
      <c r="C50" s="2" t="s">
        <v>8</v>
      </c>
      <c r="D50" s="2" t="str">
        <f t="shared" si="1"/>
        <v>dPDE4D2_ERK</v>
      </c>
      <c r="E50" s="2"/>
    </row>
    <row r="51" spans="1:5" x14ac:dyDescent="0.2">
      <c r="A51" s="2">
        <v>44</v>
      </c>
      <c r="B51" s="2">
        <v>0</v>
      </c>
      <c r="C51" s="2" t="s">
        <v>56</v>
      </c>
      <c r="D51" s="2" t="str">
        <f t="shared" si="1"/>
        <v>dPDE4D2_PKA</v>
      </c>
      <c r="E51" s="2"/>
    </row>
    <row r="52" spans="1:5" x14ac:dyDescent="0.2">
      <c r="A52" s="2">
        <v>45</v>
      </c>
      <c r="B52" s="2">
        <v>0</v>
      </c>
      <c r="C52" s="2" t="s">
        <v>57</v>
      </c>
      <c r="D52" s="2" t="str">
        <f t="shared" si="1"/>
        <v>dPDE4D2_DP</v>
      </c>
      <c r="E52" s="2"/>
    </row>
    <row r="53" spans="1:5" x14ac:dyDescent="0.2">
      <c r="A53" s="2">
        <v>46</v>
      </c>
      <c r="B53" s="2">
        <f>53/215.2*0.4*0.19/2*2</f>
        <v>1.8717472118959109E-2</v>
      </c>
      <c r="C53" s="2" t="s">
        <v>58</v>
      </c>
      <c r="D53" s="2" t="str">
        <f t="shared" si="1"/>
        <v>dPDE4D6</v>
      </c>
      <c r="E53" s="2"/>
    </row>
    <row r="54" spans="1:5" x14ac:dyDescent="0.2">
      <c r="A54" s="2">
        <v>47</v>
      </c>
      <c r="B54" s="2">
        <v>0</v>
      </c>
      <c r="C54" s="2" t="s">
        <v>59</v>
      </c>
      <c r="D54" s="2" t="str">
        <f t="shared" si="1"/>
        <v>dPDE4D6_ERK</v>
      </c>
      <c r="E54" s="2"/>
    </row>
    <row r="55" spans="1:5" x14ac:dyDescent="0.2">
      <c r="A55" s="2">
        <v>48</v>
      </c>
      <c r="B55" s="2">
        <v>0</v>
      </c>
      <c r="C55" s="2" t="s">
        <v>9</v>
      </c>
      <c r="D55" s="2" t="str">
        <f t="shared" si="1"/>
        <v>dPDE4D6_PKA</v>
      </c>
      <c r="E55" s="2"/>
    </row>
    <row r="56" spans="1:5" x14ac:dyDescent="0.2">
      <c r="A56" s="2">
        <v>49</v>
      </c>
      <c r="B56" s="2">
        <v>0</v>
      </c>
      <c r="C56" s="2" t="s">
        <v>60</v>
      </c>
      <c r="D56" s="2" t="str">
        <f t="shared" si="1"/>
        <v>dPDE4D6_DP</v>
      </c>
      <c r="E56" s="2"/>
    </row>
    <row r="57" spans="1:5" x14ac:dyDescent="0.2">
      <c r="A57" s="2">
        <v>50</v>
      </c>
      <c r="B57" s="2">
        <v>0</v>
      </c>
      <c r="C57" s="2" t="s">
        <v>61</v>
      </c>
      <c r="D57" s="2" t="str">
        <f t="shared" si="1"/>
        <v>dPDE4D7_rolipram</v>
      </c>
      <c r="E57" s="2"/>
    </row>
    <row r="58" spans="1:5" x14ac:dyDescent="0.2">
      <c r="A58" s="2">
        <v>51</v>
      </c>
      <c r="B58" s="2">
        <v>0</v>
      </c>
      <c r="C58" s="2" t="s">
        <v>62</v>
      </c>
      <c r="D58" s="2" t="str">
        <f t="shared" si="1"/>
        <v>dPDE4D7_ERK_rolipram</v>
      </c>
      <c r="E58" s="2"/>
    </row>
    <row r="59" spans="1:5" x14ac:dyDescent="0.2">
      <c r="A59" s="2">
        <v>52</v>
      </c>
      <c r="B59" s="2">
        <v>0</v>
      </c>
      <c r="C59" s="2" t="s">
        <v>10</v>
      </c>
      <c r="D59" s="2" t="str">
        <f t="shared" si="1"/>
        <v>dPDE4D7_PKA_rolipram</v>
      </c>
      <c r="E59" s="2"/>
    </row>
    <row r="60" spans="1:5" x14ac:dyDescent="0.2">
      <c r="A60" s="2">
        <v>53</v>
      </c>
      <c r="B60" s="2">
        <v>0</v>
      </c>
      <c r="C60" s="2" t="s">
        <v>63</v>
      </c>
      <c r="D60" s="2" t="str">
        <f t="shared" si="1"/>
        <v>dPDE4D7_DP_rolipram</v>
      </c>
      <c r="E60" s="2"/>
    </row>
    <row r="61" spans="1:5" x14ac:dyDescent="0.2">
      <c r="A61" s="2">
        <v>54</v>
      </c>
      <c r="B61" s="2">
        <v>0</v>
      </c>
      <c r="C61" s="2" t="s">
        <v>64</v>
      </c>
      <c r="D61" s="2" t="str">
        <f t="shared" si="1"/>
        <v>dPDE4D4_rolipram</v>
      </c>
      <c r="E61" s="2"/>
    </row>
    <row r="62" spans="1:5" x14ac:dyDescent="0.2">
      <c r="A62" s="2">
        <v>55</v>
      </c>
      <c r="B62" s="2">
        <v>0</v>
      </c>
      <c r="C62" s="2" t="s">
        <v>65</v>
      </c>
      <c r="D62" s="2" t="str">
        <f t="shared" si="1"/>
        <v>dPDE4D4_ERK_rolipram</v>
      </c>
      <c r="E62" s="2"/>
    </row>
    <row r="63" spans="1:5" x14ac:dyDescent="0.2">
      <c r="A63" s="2">
        <v>56</v>
      </c>
      <c r="B63" s="2">
        <v>0</v>
      </c>
      <c r="C63" s="2" t="s">
        <v>11</v>
      </c>
      <c r="D63" s="2" t="str">
        <f t="shared" si="1"/>
        <v>dPDE4D4_PKA_rolipram</v>
      </c>
      <c r="E63" s="2"/>
    </row>
    <row r="64" spans="1:5" x14ac:dyDescent="0.2">
      <c r="A64" s="2">
        <v>57</v>
      </c>
      <c r="B64" s="2">
        <v>0</v>
      </c>
      <c r="C64" s="2" t="s">
        <v>66</v>
      </c>
      <c r="D64" s="2" t="str">
        <f t="shared" si="1"/>
        <v>dPDE4D4_DP_rolipram</v>
      </c>
      <c r="E64" s="2"/>
    </row>
    <row r="65" spans="1:5" x14ac:dyDescent="0.2">
      <c r="A65" s="2">
        <v>58</v>
      </c>
      <c r="B65" s="2">
        <v>0</v>
      </c>
      <c r="C65" s="2" t="s">
        <v>67</v>
      </c>
      <c r="D65" s="2" t="str">
        <f t="shared" si="1"/>
        <v>dPDE4D5_rolipram</v>
      </c>
      <c r="E65" s="2"/>
    </row>
    <row r="66" spans="1:5" x14ac:dyDescent="0.2">
      <c r="A66" s="2">
        <v>59</v>
      </c>
      <c r="B66" s="2">
        <v>0</v>
      </c>
      <c r="C66" s="2" t="s">
        <v>68</v>
      </c>
      <c r="D66" s="2" t="str">
        <f t="shared" si="1"/>
        <v>dPDE4D5_ERK_rolipram</v>
      </c>
      <c r="E66" s="2"/>
    </row>
    <row r="67" spans="1:5" x14ac:dyDescent="0.2">
      <c r="A67" s="2">
        <v>60</v>
      </c>
      <c r="B67" s="2">
        <v>0</v>
      </c>
      <c r="C67" s="2" t="s">
        <v>12</v>
      </c>
      <c r="D67" s="2" t="str">
        <f t="shared" si="1"/>
        <v>dPDE4D5_PKA_rolipram</v>
      </c>
      <c r="E67" s="2"/>
    </row>
    <row r="68" spans="1:5" x14ac:dyDescent="0.2">
      <c r="A68" s="2">
        <v>61</v>
      </c>
      <c r="B68" s="2">
        <v>0</v>
      </c>
      <c r="C68" s="2" t="s">
        <v>69</v>
      </c>
      <c r="D68" s="2" t="str">
        <f t="shared" si="1"/>
        <v>dPDE4D5_DP_rolipram</v>
      </c>
      <c r="E68" s="2"/>
    </row>
    <row r="69" spans="1:5" x14ac:dyDescent="0.2">
      <c r="A69" s="2">
        <v>62</v>
      </c>
      <c r="B69" s="2">
        <v>0</v>
      </c>
      <c r="C69" s="2" t="s">
        <v>70</v>
      </c>
      <c r="D69" s="2" t="str">
        <f t="shared" si="1"/>
        <v>dPDE4D3_rolipram</v>
      </c>
      <c r="E69" s="2"/>
    </row>
    <row r="70" spans="1:5" x14ac:dyDescent="0.2">
      <c r="A70" s="2">
        <v>63</v>
      </c>
      <c r="B70" s="2">
        <v>0</v>
      </c>
      <c r="C70" s="2" t="s">
        <v>71</v>
      </c>
      <c r="D70" s="2" t="str">
        <f t="shared" si="1"/>
        <v>dPDE4D3_ERK_rolipram</v>
      </c>
      <c r="E70" s="2"/>
    </row>
    <row r="71" spans="1:5" x14ac:dyDescent="0.2">
      <c r="A71" s="2">
        <v>64</v>
      </c>
      <c r="B71" s="2">
        <v>0</v>
      </c>
      <c r="C71" s="2" t="s">
        <v>13</v>
      </c>
      <c r="D71" s="2" t="str">
        <f t="shared" si="1"/>
        <v>dPDE4D3_PKA_rolipram</v>
      </c>
      <c r="E71" s="2"/>
    </row>
    <row r="72" spans="1:5" x14ac:dyDescent="0.2">
      <c r="A72" s="2">
        <v>65</v>
      </c>
      <c r="B72" s="2">
        <v>0</v>
      </c>
      <c r="C72" s="2" t="s">
        <v>72</v>
      </c>
      <c r="D72" s="2" t="str">
        <f t="shared" si="1"/>
        <v>dPDE4D3_DP_rolipram</v>
      </c>
      <c r="E72" s="2"/>
    </row>
    <row r="73" spans="1:5" x14ac:dyDescent="0.2">
      <c r="A73" s="2">
        <v>66</v>
      </c>
      <c r="B73" s="2">
        <v>0</v>
      </c>
      <c r="C73" s="2" t="s">
        <v>73</v>
      </c>
      <c r="D73" s="2" t="str">
        <f t="shared" ref="D73:D93" si="2">"d"&amp;C73</f>
        <v>dPDE4D8_rolipram</v>
      </c>
      <c r="E73" s="2"/>
    </row>
    <row r="74" spans="1:5" x14ac:dyDescent="0.2">
      <c r="A74" s="2">
        <v>67</v>
      </c>
      <c r="B74" s="2">
        <v>0</v>
      </c>
      <c r="C74" s="2" t="s">
        <v>74</v>
      </c>
      <c r="D74" s="2" t="str">
        <f t="shared" si="2"/>
        <v>dPDE4D8_ERK_rolipram</v>
      </c>
      <c r="E74" s="2"/>
    </row>
    <row r="75" spans="1:5" x14ac:dyDescent="0.2">
      <c r="A75" s="2">
        <v>68</v>
      </c>
      <c r="B75" s="2">
        <v>0</v>
      </c>
      <c r="C75" s="2" t="s">
        <v>14</v>
      </c>
      <c r="D75" s="2" t="str">
        <f t="shared" si="2"/>
        <v>dPDE4D8_PKA_rolipram</v>
      </c>
      <c r="E75" s="2"/>
    </row>
    <row r="76" spans="1:5" x14ac:dyDescent="0.2">
      <c r="A76" s="2">
        <v>69</v>
      </c>
      <c r="B76" s="2">
        <v>0</v>
      </c>
      <c r="C76" s="2" t="s">
        <v>75</v>
      </c>
      <c r="D76" s="2" t="str">
        <f t="shared" si="2"/>
        <v>dPDE4D8_DP_rolipram</v>
      </c>
      <c r="E76" s="2"/>
    </row>
    <row r="77" spans="1:5" x14ac:dyDescent="0.2">
      <c r="A77" s="2">
        <v>70</v>
      </c>
      <c r="B77" s="2">
        <v>0</v>
      </c>
      <c r="C77" s="2" t="s">
        <v>76</v>
      </c>
      <c r="D77" s="2" t="str">
        <f t="shared" si="2"/>
        <v>dPDE4D9_rolipram</v>
      </c>
      <c r="E77" s="2"/>
    </row>
    <row r="78" spans="1:5" x14ac:dyDescent="0.2">
      <c r="A78" s="2">
        <v>71</v>
      </c>
      <c r="B78" s="2">
        <v>0</v>
      </c>
      <c r="C78" s="2" t="s">
        <v>77</v>
      </c>
      <c r="D78" s="2" t="str">
        <f t="shared" si="2"/>
        <v>dPDE4D9_ERK_rolipram</v>
      </c>
      <c r="E78" s="2"/>
    </row>
    <row r="79" spans="1:5" x14ac:dyDescent="0.2">
      <c r="A79" s="2">
        <v>72</v>
      </c>
      <c r="B79" s="2">
        <v>0</v>
      </c>
      <c r="C79" s="2" t="s">
        <v>15</v>
      </c>
      <c r="D79" s="2" t="str">
        <f t="shared" si="2"/>
        <v>dPDE4D9_PKA_rolipram</v>
      </c>
      <c r="E79" s="2"/>
    </row>
    <row r="80" spans="1:5" x14ac:dyDescent="0.2">
      <c r="A80" s="2">
        <v>73</v>
      </c>
      <c r="B80" s="2">
        <v>0</v>
      </c>
      <c r="C80" s="2" t="s">
        <v>78</v>
      </c>
      <c r="D80" s="2" t="str">
        <f t="shared" si="2"/>
        <v>dPDE4D9_DP_rolipram</v>
      </c>
      <c r="E80" s="2"/>
    </row>
    <row r="81" spans="1:5" x14ac:dyDescent="0.2">
      <c r="A81" s="2">
        <v>74</v>
      </c>
      <c r="B81" s="2">
        <v>0</v>
      </c>
      <c r="C81" s="2" t="s">
        <v>79</v>
      </c>
      <c r="D81" s="2" t="str">
        <f t="shared" si="2"/>
        <v>dPDE4D1_rolipram</v>
      </c>
      <c r="E81" s="2"/>
    </row>
    <row r="82" spans="1:5" x14ac:dyDescent="0.2">
      <c r="A82" s="2">
        <v>75</v>
      </c>
      <c r="B82" s="2">
        <v>0</v>
      </c>
      <c r="C82" s="2" t="s">
        <v>80</v>
      </c>
      <c r="D82" s="2" t="str">
        <f t="shared" si="2"/>
        <v>dPDE4D1_ERK_rolipram</v>
      </c>
      <c r="E82" s="2"/>
    </row>
    <row r="83" spans="1:5" x14ac:dyDescent="0.2">
      <c r="A83" s="2">
        <v>76</v>
      </c>
      <c r="B83" s="2">
        <v>0</v>
      </c>
      <c r="C83" s="2" t="s">
        <v>16</v>
      </c>
      <c r="D83" s="2" t="str">
        <f t="shared" si="2"/>
        <v>dPDE4D2_rolipram</v>
      </c>
      <c r="E83" s="2"/>
    </row>
    <row r="84" spans="1:5" x14ac:dyDescent="0.2">
      <c r="A84" s="2">
        <v>77</v>
      </c>
      <c r="B84" s="2">
        <v>0</v>
      </c>
      <c r="C84" s="2" t="s">
        <v>81</v>
      </c>
      <c r="D84" s="2" t="str">
        <f t="shared" si="2"/>
        <v>dPDE4D2_ERK_rolipram</v>
      </c>
      <c r="E84" s="2"/>
    </row>
    <row r="85" spans="1:5" x14ac:dyDescent="0.2">
      <c r="A85" s="2">
        <v>78</v>
      </c>
      <c r="B85" s="2">
        <v>0</v>
      </c>
      <c r="C85" s="2" t="s">
        <v>82</v>
      </c>
      <c r="D85" s="2" t="str">
        <f t="shared" si="2"/>
        <v>dPDE4D6_rolipram</v>
      </c>
      <c r="E85" s="2"/>
    </row>
    <row r="86" spans="1:5" x14ac:dyDescent="0.2">
      <c r="A86" s="2">
        <v>79</v>
      </c>
      <c r="B86" s="2">
        <v>0</v>
      </c>
      <c r="C86" s="2" t="s">
        <v>83</v>
      </c>
      <c r="D86" s="2" t="str">
        <f t="shared" si="2"/>
        <v>dPDE4D6_ERK_rolipram</v>
      </c>
      <c r="E86" s="2"/>
    </row>
    <row r="87" spans="1:5" x14ac:dyDescent="0.2">
      <c r="A87" s="2">
        <v>80</v>
      </c>
      <c r="B87" s="2">
        <v>8.5000000000000006E-2</v>
      </c>
      <c r="C87" s="2" t="s">
        <v>17</v>
      </c>
      <c r="D87" s="2" t="str">
        <f t="shared" si="2"/>
        <v>dCREB</v>
      </c>
      <c r="E87" s="2"/>
    </row>
    <row r="88" spans="1:5" x14ac:dyDescent="0.2">
      <c r="A88" s="2">
        <v>81</v>
      </c>
      <c r="B88" s="2">
        <v>1.4999999999999999E-2</v>
      </c>
      <c r="C88" s="2" t="s">
        <v>84</v>
      </c>
      <c r="D88" s="2" t="str">
        <f t="shared" si="2"/>
        <v>dpCREB</v>
      </c>
      <c r="E88" s="2"/>
    </row>
    <row r="89" spans="1:5" x14ac:dyDescent="0.2">
      <c r="A89" s="2">
        <v>82</v>
      </c>
      <c r="B89" s="2">
        <f>47/215.2*0.4</f>
        <v>8.7360594795539037E-2</v>
      </c>
      <c r="C89" s="2" t="s">
        <v>85</v>
      </c>
      <c r="D89" s="2" t="str">
        <f t="shared" si="2"/>
        <v>dPDE4A</v>
      </c>
      <c r="E89" s="2"/>
    </row>
    <row r="90" spans="1:5" x14ac:dyDescent="0.2">
      <c r="A90" s="2">
        <v>83</v>
      </c>
      <c r="B90" s="2">
        <v>0</v>
      </c>
      <c r="C90" s="2" t="s">
        <v>86</v>
      </c>
      <c r="D90" s="2" t="str">
        <f t="shared" si="2"/>
        <v>dPDE4A_rolipram</v>
      </c>
      <c r="E90" s="2"/>
    </row>
    <row r="91" spans="1:5" x14ac:dyDescent="0.2">
      <c r="A91" s="2">
        <v>84</v>
      </c>
      <c r="B91" s="2">
        <f>115.2/215.2*0.4</f>
        <v>0.21412639405204464</v>
      </c>
      <c r="C91" s="2" t="s">
        <v>87</v>
      </c>
      <c r="D91" s="2" t="str">
        <f t="shared" si="2"/>
        <v>dPDE4B</v>
      </c>
      <c r="E91" s="2"/>
    </row>
    <row r="92" spans="1:5" x14ac:dyDescent="0.2">
      <c r="A92" s="2">
        <v>85</v>
      </c>
      <c r="B92" s="2">
        <v>0</v>
      </c>
      <c r="C92" s="2" t="s">
        <v>88</v>
      </c>
      <c r="D92" s="2" t="str">
        <f t="shared" si="2"/>
        <v>dPDE4B_rolipram</v>
      </c>
      <c r="E92" s="2"/>
    </row>
    <row r="93" spans="1:5" x14ac:dyDescent="0.2">
      <c r="A93" s="2">
        <v>86</v>
      </c>
      <c r="B93" s="2">
        <v>0</v>
      </c>
      <c r="C93" s="2" t="s">
        <v>89</v>
      </c>
      <c r="D93" s="2" t="str">
        <f t="shared" si="2"/>
        <v>drolipram</v>
      </c>
      <c r="E93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733FDE-A860-472C-98CC-7CEE407A6B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IC_literature_2</vt:lpstr>
      <vt:lpstr>IC_literature</vt:lpstr>
      <vt:lpstr>parameters_literature</vt:lpstr>
      <vt:lpstr>output (2)</vt:lpstr>
      <vt:lpstr>output</vt:lpstr>
      <vt:lpstr>Sheet2</vt:lpstr>
      <vt:lpstr>IC_exp1</vt:lpstr>
      <vt:lpstr>IC_exp2</vt:lpstr>
      <vt:lpstr>IC_exp3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SKORUPSKA Iga</dc:creator>
  <cp:lastModifiedBy>Corriero, Pier Giorgio (Stud. MSP)</cp:lastModifiedBy>
  <dcterms:created xsi:type="dcterms:W3CDTF">2025-03-21T14:56:26Z</dcterms:created>
  <dcterms:modified xsi:type="dcterms:W3CDTF">2026-05-13T08:09:34Z</dcterms:modified>
</cp:coreProperties>
</file>